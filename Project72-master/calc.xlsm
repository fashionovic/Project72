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ematr\PycharmProjects\Project72-master\"/>
    </mc:Choice>
  </mc:AlternateContent>
  <xr:revisionPtr revIDLastSave="0" documentId="13_ncr:1_{D3D86DDB-E945-48F8-90B4-D5F6CF99DAF6}" xr6:coauthVersionLast="45" xr6:coauthVersionMax="45" xr10:uidLastSave="{00000000-0000-0000-0000-000000000000}"/>
  <bookViews>
    <workbookView xWindow="-96" yWindow="-96" windowWidth="23232" windowHeight="12552" xr2:uid="{00000000-000D-0000-FFFF-FFFF00000000}"/>
  </bookViews>
  <sheets>
    <sheet name="Φύλλο1" sheetId="1" r:id="rId1"/>
    <sheet name="Φύλλο2" sheetId="2" r:id="rId2"/>
    <sheet name="kelyfos" sheetId="4" r:id="rId3"/>
    <sheet name="Sheet2" sheetId="3" r:id="rId4"/>
  </sheets>
  <externalReferences>
    <externalReference r:id="rId5"/>
    <externalReference r:id="rId6"/>
  </externalReferences>
  <definedNames>
    <definedName name="opaque">Table13[ΤΟΙΧΟΣ]</definedName>
    <definedName name="opaque_table">Table13[#All]</definedName>
    <definedName name="transp">Table1[ΔΙΑΦΑΝΗ]</definedName>
    <definedName name="Ud">kelyfos!$F$9</definedName>
    <definedName name="Ut">kelyfos!$F$8</definedName>
    <definedName name="ΑΛΟΥΜΙΝΙΟ">kelyfos!$AT$3:$AT$4</definedName>
    <definedName name="ΞΥΛΙΝΟ">kelyfos!$AS$3:$AS$4</definedName>
    <definedName name="ΥΨΟΣ">kelyfos!$B$9</definedName>
    <definedName name="ΦΕΡΩΝ">kelyfos!$B$8</definedName>
  </definedNames>
  <calcPr calcId="191029"/>
  <pivotCaches>
    <pivotCache cacheId="4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3" i="4" l="1"/>
  <c r="V4" i="4"/>
  <c r="V5" i="4"/>
  <c r="V6" i="4"/>
  <c r="V7" i="4"/>
  <c r="V8" i="4"/>
  <c r="V9" i="4"/>
  <c r="V2" i="4"/>
  <c r="T3" i="4"/>
  <c r="T4" i="4"/>
  <c r="T5" i="4"/>
  <c r="T6" i="4"/>
  <c r="T7" i="4"/>
  <c r="T8" i="4"/>
  <c r="T9" i="4"/>
  <c r="T2" i="4"/>
  <c r="AE3" i="4"/>
  <c r="AE4" i="4"/>
  <c r="AE5" i="4"/>
  <c r="AE6" i="4"/>
  <c r="AE7" i="4"/>
  <c r="AE8" i="4"/>
  <c r="AE9" i="4"/>
  <c r="AE10" i="4"/>
  <c r="AE11" i="4"/>
  <c r="AE12" i="4"/>
  <c r="AE13" i="4"/>
  <c r="AE2" i="4"/>
  <c r="N2" i="2" l="1"/>
  <c r="N3" i="2"/>
  <c r="N4" i="2"/>
  <c r="N5" i="2"/>
  <c r="N6" i="2"/>
  <c r="N7" i="2"/>
  <c r="N8" i="2"/>
  <c r="N9" i="2"/>
  <c r="N10" i="2"/>
  <c r="N11" i="2"/>
  <c r="N12" i="2"/>
  <c r="M2" i="2"/>
  <c r="M3" i="2"/>
  <c r="M4" i="2"/>
  <c r="M5" i="2"/>
  <c r="M6" i="2"/>
  <c r="M7" i="2"/>
  <c r="M8" i="2"/>
  <c r="M9" i="2"/>
  <c r="M10" i="2"/>
  <c r="M11" i="2"/>
  <c r="M12" i="2"/>
  <c r="L2" i="2"/>
  <c r="L3" i="2"/>
  <c r="L4" i="2"/>
  <c r="L5" i="2"/>
  <c r="L6" i="2"/>
  <c r="L7" i="2"/>
  <c r="L8" i="2"/>
  <c r="L9" i="2"/>
  <c r="L10" i="2"/>
  <c r="L11" i="2"/>
  <c r="L12" i="2"/>
  <c r="K2" i="2"/>
  <c r="K3" i="2"/>
  <c r="K4" i="2"/>
  <c r="K5" i="2"/>
  <c r="K6" i="2"/>
  <c r="K7" i="2"/>
  <c r="K8" i="2"/>
  <c r="K9" i="2"/>
  <c r="K10" i="2"/>
  <c r="K11" i="2"/>
  <c r="K12" i="2"/>
  <c r="J2" i="2"/>
  <c r="J3" i="2"/>
  <c r="J4" i="2"/>
  <c r="J5" i="2"/>
  <c r="J6" i="2"/>
  <c r="J7" i="2"/>
  <c r="J8" i="2"/>
  <c r="J9" i="2"/>
  <c r="J10" i="2"/>
  <c r="J11" i="2"/>
  <c r="J12" i="2"/>
  <c r="I2" i="2"/>
  <c r="I3" i="2"/>
  <c r="I4" i="2"/>
  <c r="I5" i="2"/>
  <c r="I6" i="2"/>
  <c r="I7" i="2"/>
  <c r="I8" i="2"/>
  <c r="I9" i="2"/>
  <c r="I10" i="2"/>
  <c r="I11" i="2"/>
  <c r="I12" i="2"/>
  <c r="E2" i="2"/>
  <c r="E3" i="2"/>
  <c r="E4" i="2"/>
  <c r="E5" i="2"/>
  <c r="E6" i="2"/>
  <c r="E7" i="2"/>
  <c r="E8" i="2"/>
  <c r="E9" i="2"/>
  <c r="E10" i="2"/>
  <c r="E11" i="2"/>
  <c r="E12" i="2"/>
  <c r="E1" i="2"/>
  <c r="D2" i="2"/>
  <c r="D3" i="2"/>
  <c r="D4" i="2"/>
  <c r="D5" i="2"/>
  <c r="D6" i="2"/>
  <c r="D7" i="2"/>
  <c r="D8" i="2"/>
  <c r="D9" i="2"/>
  <c r="D10" i="2"/>
  <c r="D11" i="2"/>
  <c r="D12" i="2"/>
  <c r="D1" i="2"/>
  <c r="L1" i="1"/>
  <c r="M1" i="1"/>
  <c r="N1" i="1"/>
  <c r="O1" i="1"/>
  <c r="L2" i="1"/>
  <c r="M2" i="1"/>
  <c r="N2" i="1"/>
  <c r="O2" i="1"/>
  <c r="L3" i="1"/>
  <c r="M3" i="1"/>
  <c r="N3" i="1"/>
  <c r="O3" i="1"/>
  <c r="L4" i="1"/>
  <c r="M4" i="1"/>
  <c r="N4" i="1"/>
  <c r="O4" i="1"/>
  <c r="L5" i="1"/>
  <c r="M5" i="1"/>
  <c r="N5" i="1"/>
  <c r="O5" i="1"/>
  <c r="L6" i="1"/>
  <c r="M6" i="1"/>
  <c r="N6" i="1"/>
  <c r="O6" i="1"/>
  <c r="L7" i="1"/>
  <c r="M7" i="1"/>
  <c r="N7" i="1"/>
  <c r="O7" i="1"/>
  <c r="L8" i="1"/>
  <c r="M8" i="1"/>
  <c r="N8" i="1"/>
  <c r="O8" i="1"/>
  <c r="K2" i="1"/>
  <c r="K3" i="1"/>
  <c r="K4" i="1"/>
  <c r="K5" i="1"/>
  <c r="K6" i="1"/>
  <c r="K7" i="1"/>
  <c r="K8" i="1"/>
  <c r="K1" i="1"/>
  <c r="J2" i="1"/>
  <c r="J3" i="1"/>
  <c r="J4" i="1"/>
  <c r="J5" i="1"/>
  <c r="J6" i="1"/>
  <c r="J7" i="1"/>
  <c r="J8" i="1"/>
  <c r="J1" i="1"/>
  <c r="D2" i="1"/>
  <c r="D3" i="1"/>
  <c r="D4" i="1"/>
  <c r="D5" i="1"/>
  <c r="D6" i="1"/>
  <c r="D7" i="1"/>
  <c r="D8" i="1"/>
  <c r="C5" i="1"/>
  <c r="C6" i="1"/>
  <c r="C7" i="1"/>
  <c r="C8" i="1"/>
  <c r="C2" i="1"/>
  <c r="C3" i="1"/>
  <c r="C4" i="1"/>
  <c r="L1" i="2"/>
  <c r="B2" i="2"/>
  <c r="B3" i="2"/>
  <c r="B4" i="2"/>
  <c r="B5" i="2"/>
  <c r="B6" i="2"/>
  <c r="B7" i="2"/>
  <c r="B8" i="2"/>
  <c r="B9" i="2"/>
  <c r="B10" i="2"/>
  <c r="B11" i="2"/>
  <c r="B12" i="2"/>
  <c r="B1" i="2"/>
  <c r="B7" i="1"/>
  <c r="B8" i="1"/>
  <c r="J1" i="2"/>
  <c r="I1" i="2"/>
  <c r="K1" i="2" l="1"/>
  <c r="U8" i="4" l="1"/>
  <c r="S8" i="4"/>
  <c r="P9" i="4"/>
  <c r="Q9" i="4"/>
  <c r="S9" i="4"/>
  <c r="U9" i="4"/>
  <c r="R9" i="4"/>
  <c r="N1" i="2" l="1"/>
  <c r="M1" i="2"/>
  <c r="F8" i="1" l="1"/>
  <c r="E8" i="1"/>
  <c r="D1" i="1"/>
  <c r="B2" i="1"/>
  <c r="B3" i="1"/>
  <c r="B4" i="1"/>
  <c r="B5" i="1"/>
  <c r="B6" i="1"/>
  <c r="B1" i="1"/>
  <c r="AA13" i="4" l="1"/>
  <c r="C12" i="2" s="1"/>
  <c r="AF13" i="4"/>
  <c r="AA12" i="4"/>
  <c r="C11" i="2" s="1"/>
  <c r="AF12" i="4"/>
  <c r="AA11" i="4"/>
  <c r="C10" i="2" s="1"/>
  <c r="AF11" i="4"/>
  <c r="AA9" i="4"/>
  <c r="C8" i="2" s="1"/>
  <c r="AF9" i="4"/>
  <c r="AA10" i="4"/>
  <c r="C9" i="2" s="1"/>
  <c r="AF10" i="4"/>
  <c r="AF2" i="4"/>
  <c r="AF3" i="4"/>
  <c r="AF4" i="4"/>
  <c r="AF5" i="4"/>
  <c r="AF6" i="4"/>
  <c r="AF7" i="4"/>
  <c r="AF8" i="4"/>
  <c r="AG12" i="4" l="1"/>
  <c r="AG13" i="4"/>
  <c r="AG11" i="4"/>
  <c r="AG9" i="4"/>
  <c r="AG10" i="4"/>
  <c r="P8" i="4"/>
  <c r="Q8" i="4" s="1"/>
  <c r="P3" i="4"/>
  <c r="P4" i="4"/>
  <c r="P5" i="4"/>
  <c r="P6" i="4"/>
  <c r="Q6" i="4" s="1"/>
  <c r="S6" i="4" s="1"/>
  <c r="P7" i="4"/>
  <c r="Q7" i="4" s="1"/>
  <c r="U7" i="4"/>
  <c r="AG3" i="4"/>
  <c r="AG4" i="4"/>
  <c r="AG5" i="4"/>
  <c r="AG6" i="4"/>
  <c r="AG7" i="4"/>
  <c r="AG8" i="4"/>
  <c r="AA3" i="4"/>
  <c r="C2" i="2" s="1"/>
  <c r="AA4" i="4"/>
  <c r="C3" i="2" s="1"/>
  <c r="AA5" i="4"/>
  <c r="C4" i="2" s="1"/>
  <c r="AA6" i="4"/>
  <c r="C5" i="2" s="1"/>
  <c r="AA7" i="4"/>
  <c r="C6" i="2" s="1"/>
  <c r="AA8" i="4"/>
  <c r="C7" i="2" s="1"/>
  <c r="U2" i="4"/>
  <c r="U3" i="4"/>
  <c r="U4" i="4"/>
  <c r="U5" i="4"/>
  <c r="U6" i="4"/>
  <c r="P2" i="4"/>
  <c r="R8" i="4"/>
  <c r="R2" i="4"/>
  <c r="R3" i="4"/>
  <c r="R6" i="4"/>
  <c r="R7" i="4"/>
  <c r="R4" i="4"/>
  <c r="R5" i="4"/>
  <c r="AG2" i="4" l="1"/>
  <c r="I1" i="4" s="1"/>
  <c r="S7" i="4"/>
  <c r="F6" i="1" l="1"/>
  <c r="E6" i="1"/>
  <c r="F7" i="1"/>
  <c r="E7" i="1"/>
  <c r="F5" i="1"/>
  <c r="E5" i="1"/>
  <c r="Q5" i="4"/>
  <c r="S5" i="4" s="1"/>
  <c r="E4" i="1" s="1"/>
  <c r="Q4" i="4"/>
  <c r="S4" i="4" s="1"/>
  <c r="E3" i="1" s="1"/>
  <c r="Q3" i="4"/>
  <c r="S3" i="4" s="1"/>
  <c r="E2" i="1" s="1"/>
  <c r="Q2" i="4"/>
  <c r="S2" i="4" s="1"/>
  <c r="C89" i="4"/>
  <c r="C84" i="4"/>
  <c r="B58" i="4"/>
  <c r="E33" i="4"/>
  <c r="D32" i="4"/>
  <c r="F3" i="1" l="1"/>
  <c r="F2" i="1"/>
  <c r="F4" i="1"/>
  <c r="K33" i="4"/>
  <c r="C82" i="4"/>
  <c r="C98" i="4" s="1"/>
  <c r="F1" i="1" l="1"/>
  <c r="E1" i="1"/>
  <c r="W32" i="4"/>
  <c r="R50" i="4"/>
  <c r="B62" i="4"/>
  <c r="B52" i="4" s="1"/>
  <c r="B56" i="4"/>
  <c r="C1" i="1"/>
  <c r="AA2" i="4"/>
  <c r="C1" i="2" s="1"/>
</calcChain>
</file>

<file path=xl/sharedStrings.xml><?xml version="1.0" encoding="utf-8"?>
<sst xmlns="http://schemas.openxmlformats.org/spreadsheetml/2006/main" count="139" uniqueCount="76">
  <si>
    <t>T1</t>
  </si>
  <si>
    <t>T2</t>
  </si>
  <si>
    <t>T3</t>
  </si>
  <si>
    <t>T4</t>
  </si>
  <si>
    <t>A1</t>
  </si>
  <si>
    <t>A2</t>
  </si>
  <si>
    <t>A3</t>
  </si>
  <si>
    <t>A4</t>
  </si>
  <si>
    <t>A5</t>
  </si>
  <si>
    <t>A6</t>
  </si>
  <si>
    <t>ΥΨΟΣ</t>
  </si>
  <si>
    <t>γ</t>
  </si>
  <si>
    <t>β</t>
  </si>
  <si>
    <t>a</t>
  </si>
  <si>
    <t>ΚΑΤΑΝΑΛΩΣΗ ΖΝΧ</t>
  </si>
  <si>
    <t>Υ/Δ</t>
  </si>
  <si>
    <t>ΦΕΡΩΝ (%)</t>
  </si>
  <si>
    <t>Uτοιχοι</t>
  </si>
  <si>
    <t>ΑΘΡΟΙΣΜΑ ΔΙΕΙΣΔΥΣΗΣ</t>
  </si>
  <si>
    <t>A7</t>
  </si>
  <si>
    <t>ΒΑΘΜΟΣ ΑΠΟΔΟΣΗΣ ΛΕΒΗΤΑ</t>
  </si>
  <si>
    <t>nsΚΘ=ΣΜΘΔ*(nsΑΘ+3%)</t>
  </si>
  <si>
    <t>ngen=nsΚΘ*ng1*ng2</t>
  </si>
  <si>
    <r>
      <t>n</t>
    </r>
    <r>
      <rPr>
        <sz val="8"/>
        <rFont val="Arial"/>
        <family val="2"/>
        <charset val="161"/>
      </rPr>
      <t>sΚΘ</t>
    </r>
    <r>
      <rPr>
        <sz val="11"/>
        <color theme="1"/>
        <rFont val="Calibri"/>
        <family val="2"/>
        <scheme val="minor"/>
      </rPr>
      <t>=n</t>
    </r>
    <r>
      <rPr>
        <sz val="8"/>
        <rFont val="Arial"/>
        <family val="2"/>
        <charset val="161"/>
      </rPr>
      <t>gm</t>
    </r>
    <r>
      <rPr>
        <sz val="11"/>
        <color theme="1"/>
        <rFont val="Calibri"/>
        <family val="2"/>
        <scheme val="minor"/>
      </rPr>
      <t>*n</t>
    </r>
    <r>
      <rPr>
        <sz val="8"/>
        <rFont val="Arial"/>
        <family val="2"/>
        <charset val="161"/>
      </rPr>
      <t>g0</t>
    </r>
  </si>
  <si>
    <r>
      <t>n</t>
    </r>
    <r>
      <rPr>
        <sz val="8"/>
        <rFont val="Arial"/>
        <family val="2"/>
        <charset val="161"/>
      </rPr>
      <t>g2</t>
    </r>
    <r>
      <rPr>
        <sz val="11"/>
        <color theme="1"/>
        <rFont val="Calibri"/>
        <family val="2"/>
        <scheme val="minor"/>
      </rPr>
      <t>=a*Y+b</t>
    </r>
  </si>
  <si>
    <t>b</t>
  </si>
  <si>
    <t>nsΚΘ</t>
  </si>
  <si>
    <t>ng1</t>
  </si>
  <si>
    <t>Υπερδιαστασιολόγηση</t>
  </si>
  <si>
    <t>ng2</t>
  </si>
  <si>
    <r>
      <rPr>
        <sz val="14"/>
        <rFont val="Arial"/>
        <family val="2"/>
        <charset val="161"/>
      </rPr>
      <t>n</t>
    </r>
    <r>
      <rPr>
        <sz val="11"/>
        <color theme="1"/>
        <rFont val="Calibri"/>
        <family val="2"/>
        <scheme val="minor"/>
      </rPr>
      <t>gm</t>
    </r>
  </si>
  <si>
    <t>ngm</t>
  </si>
  <si>
    <t>ng0</t>
  </si>
  <si>
    <t>ΜΘΧ</t>
  </si>
  <si>
    <r>
      <t>P</t>
    </r>
    <r>
      <rPr>
        <sz val="8"/>
        <rFont val="Arial"/>
        <family val="2"/>
        <charset val="161"/>
      </rPr>
      <t>πραγματικό</t>
    </r>
  </si>
  <si>
    <t>Pgen</t>
  </si>
  <si>
    <t>A</t>
  </si>
  <si>
    <t>Um</t>
  </si>
  <si>
    <t>Επιφάνεια ΘΖ</t>
  </si>
  <si>
    <t>V</t>
  </si>
  <si>
    <t>ΔΤ</t>
  </si>
  <si>
    <t>Υ</t>
  </si>
  <si>
    <t>T5</t>
  </si>
  <si>
    <t>T6</t>
  </si>
  <si>
    <t>T7</t>
  </si>
  <si>
    <t>ΔΙΑΦΑΝΗ</t>
  </si>
  <si>
    <t>ΤΟΙΧΟΣ</t>
  </si>
  <si>
    <t>άνοιγμα</t>
  </si>
  <si>
    <t>ύψος</t>
  </si>
  <si>
    <t>Εμβαδό</t>
  </si>
  <si>
    <t>Row Labels</t>
  </si>
  <si>
    <t>Grand Total</t>
  </si>
  <si>
    <t>Column Labels</t>
  </si>
  <si>
    <t>Μήκος</t>
  </si>
  <si>
    <t>Εμβαδό μεικτό</t>
  </si>
  <si>
    <t>εμβαδο ανοιγματων</t>
  </si>
  <si>
    <t>pinakas2</t>
  </si>
  <si>
    <t>Uφο</t>
  </si>
  <si>
    <t>Εμβαδό ΦΟ</t>
  </si>
  <si>
    <t>Εμβαδό τοιχου</t>
  </si>
  <si>
    <t>Uτοιχου</t>
  </si>
  <si>
    <t>ΣΥΝΤ-ΜΘΧ</t>
  </si>
  <si>
    <t>ΣΥΝΤ. ΔΙΕΙΣΔ</t>
  </si>
  <si>
    <t>ΞΥΛΙΝΟ</t>
  </si>
  <si>
    <t>ΑΛΟΥΜΙΝΙΟ</t>
  </si>
  <si>
    <t>ΠΟΡΤΑ</t>
  </si>
  <si>
    <t>ΠΑΡΑΘΥΡΟ</t>
  </si>
  <si>
    <t>Column1</t>
  </si>
  <si>
    <t>Column2</t>
  </si>
  <si>
    <t>ΑΕΡΙΣΜΟΣ</t>
  </si>
  <si>
    <t>T8</t>
  </si>
  <si>
    <t>A8</t>
  </si>
  <si>
    <t>A9</t>
  </si>
  <si>
    <t>A10</t>
  </si>
  <si>
    <t>A11</t>
  </si>
  <si>
    <t>A12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</si>
</sst>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;\-0;;@"/>
  </numFmts>
  <fonts count="11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charset val="161"/>
      <scheme val="minor"/>
    </font>
    <font>
      <sz val="11"/>
      <color rgb="FF3F3F76"/>
      <name val="Calibri"/>
      <family val="2"/>
      <charset val="161"/>
      <scheme val="minor"/>
    </font>
    <font>
      <b/>
      <sz val="11"/>
      <color rgb="FFFA7D00"/>
      <name val="Calibri"/>
      <family val="2"/>
      <charset val="161"/>
      <scheme val="minor"/>
    </font>
    <font>
      <sz val="10"/>
      <name val="Arial"/>
      <family val="2"/>
      <charset val="161"/>
    </font>
    <font>
      <b/>
      <sz val="10"/>
      <name val="Arial"/>
      <family val="2"/>
      <charset val="161"/>
    </font>
    <font>
      <b/>
      <sz val="11"/>
      <color indexed="52"/>
      <name val="Calibri"/>
      <family val="2"/>
      <charset val="161"/>
    </font>
    <font>
      <b/>
      <sz val="14"/>
      <color indexed="52"/>
      <name val="Calibri"/>
      <family val="2"/>
      <charset val="161"/>
    </font>
    <font>
      <sz val="8"/>
      <name val="Arial"/>
      <family val="2"/>
      <charset val="161"/>
    </font>
    <font>
      <sz val="14"/>
      <name val="Arial"/>
      <family val="2"/>
      <charset val="161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11"/>
        <bgColor indexed="49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35"/>
      </patternFill>
    </fill>
    <fill>
      <patternFill patternType="solid">
        <fgColor indexed="40"/>
        <bgColor indexed="64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3" fillId="4" borderId="1" applyNumberFormat="0" applyAlignment="0" applyProtection="0"/>
    <xf numFmtId="0" fontId="4" fillId="0" borderId="0"/>
    <xf numFmtId="0" fontId="6" fillId="10" borderId="2" applyNumberFormat="0" applyAlignment="0" applyProtection="0"/>
  </cellStyleXfs>
  <cellXfs count="36">
    <xf numFmtId="0" fontId="0" fillId="0" borderId="0" xfId="0"/>
    <xf numFmtId="0" fontId="4" fillId="0" borderId="0" xfId="4"/>
    <xf numFmtId="49" fontId="5" fillId="0" borderId="0" xfId="4" applyNumberFormat="1" applyFont="1" applyAlignment="1">
      <alignment horizontal="center" vertical="center"/>
    </xf>
    <xf numFmtId="2" fontId="4" fillId="5" borderId="0" xfId="4" applyNumberFormat="1" applyFill="1"/>
    <xf numFmtId="2" fontId="4" fillId="0" borderId="0" xfId="4" applyNumberFormat="1"/>
    <xf numFmtId="2" fontId="4" fillId="6" borderId="0" xfId="4" applyNumberFormat="1" applyFill="1"/>
    <xf numFmtId="164" fontId="4" fillId="0" borderId="0" xfId="4" applyNumberFormat="1"/>
    <xf numFmtId="0" fontId="5" fillId="7" borderId="0" xfId="4" applyFont="1" applyFill="1"/>
    <xf numFmtId="2" fontId="5" fillId="8" borderId="0" xfId="4" applyNumberFormat="1" applyFont="1" applyFill="1"/>
    <xf numFmtId="0" fontId="5" fillId="9" borderId="0" xfId="4" applyFont="1" applyFill="1"/>
    <xf numFmtId="49" fontId="4" fillId="0" borderId="0" xfId="4" applyNumberFormat="1" applyAlignment="1">
      <alignment horizontal="right" vertical="center"/>
    </xf>
    <xf numFmtId="9" fontId="4" fillId="0" borderId="0" xfId="4" applyNumberFormat="1"/>
    <xf numFmtId="0" fontId="1" fillId="2" borderId="0" xfId="1"/>
    <xf numFmtId="0" fontId="6" fillId="10" borderId="2" xfId="5"/>
    <xf numFmtId="2" fontId="7" fillId="10" borderId="2" xfId="5" applyNumberFormat="1" applyFont="1"/>
    <xf numFmtId="0" fontId="3" fillId="4" borderId="1" xfId="3"/>
    <xf numFmtId="0" fontId="2" fillId="3" borderId="1" xfId="2"/>
    <xf numFmtId="10" fontId="3" fillId="4" borderId="1" xfId="3" applyNumberFormat="1"/>
    <xf numFmtId="2" fontId="3" fillId="4" borderId="1" xfId="3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3" xfId="0" applyBorder="1" applyAlignment="1">
      <alignment horizontal="left"/>
    </xf>
    <xf numFmtId="0" fontId="0" fillId="0" borderId="3" xfId="0" applyNumberFormat="1" applyBorder="1" applyAlignment="1">
      <alignment horizontal="center"/>
    </xf>
    <xf numFmtId="0" fontId="4" fillId="0" borderId="0" xfId="4" applyFill="1"/>
    <xf numFmtId="2" fontId="0" fillId="0" borderId="0" xfId="0" applyNumberFormat="1"/>
    <xf numFmtId="0" fontId="4" fillId="0" borderId="0" xfId="4" applyAlignment="1">
      <alignment horizontal="center"/>
    </xf>
    <xf numFmtId="0" fontId="4" fillId="0" borderId="0" xfId="4" applyFill="1" applyAlignment="1">
      <alignment horizontal="center"/>
    </xf>
    <xf numFmtId="2" fontId="4" fillId="0" borderId="0" xfId="4" applyNumberFormat="1" applyAlignment="1">
      <alignment horizontal="center"/>
    </xf>
    <xf numFmtId="2" fontId="4" fillId="0" borderId="0" xfId="4" applyNumberFormat="1" applyFill="1" applyAlignment="1">
      <alignment horizontal="center"/>
    </xf>
    <xf numFmtId="0" fontId="4" fillId="0" borderId="0" xfId="4" applyNumberFormat="1" applyFill="1" applyAlignment="1">
      <alignment horizontal="center"/>
    </xf>
    <xf numFmtId="0" fontId="0" fillId="0" borderId="0" xfId="0" applyNumberFormat="1"/>
    <xf numFmtId="165" fontId="0" fillId="0" borderId="0" xfId="0" applyNumberFormat="1"/>
    <xf numFmtId="1" fontId="4" fillId="0" borderId="0" xfId="4" applyNumberFormat="1" applyFill="1" applyAlignment="1">
      <alignment horizontal="center"/>
    </xf>
  </cellXfs>
  <cellStyles count="6">
    <cellStyle name="Bad" xfId="1" builtinId="27"/>
    <cellStyle name="Calculation" xfId="3" builtinId="22"/>
    <cellStyle name="Input" xfId="2" builtinId="20"/>
    <cellStyle name="Normal" xfId="0" builtinId="0"/>
    <cellStyle name="Normal 2" xfId="4" xr:uid="{00000000-0005-0000-0000-000004000000}"/>
    <cellStyle name="Υπολογισμός" xfId="5" xr:uid="{00000000-0005-0000-0000-000005000000}"/>
  </cellStyles>
  <dxfs count="57"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/>
    </dxf>
    <dxf>
      <alignment horizontal="center"/>
    </dxf>
    <dxf>
      <alignment horizontal="center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304800</xdr:colOff>
      <xdr:row>34</xdr:row>
      <xdr:rowOff>110490</xdr:rowOff>
    </xdr:from>
    <xdr:to>
      <xdr:col>14</xdr:col>
      <xdr:colOff>482076</xdr:colOff>
      <xdr:row>51</xdr:row>
      <xdr:rowOff>206188</xdr:rowOff>
    </xdr:to>
    <xdr:pic>
      <xdr:nvPicPr>
        <xdr:cNvPr id="2" name="Picture 1" descr="4.2.2.JPG">
          <a:extLst>
            <a:ext uri="{FF2B5EF4-FFF2-40B4-BE49-F238E27FC236}">
              <a16:creationId xmlns:a16="http://schemas.microsoft.com/office/drawing/2014/main" id="{E3AA6317-748A-43B1-915E-2C606B3EF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2970" y="5737860"/>
          <a:ext cx="6233160" cy="2834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400050</xdr:colOff>
      <xdr:row>62</xdr:row>
      <xdr:rowOff>64770</xdr:rowOff>
    </xdr:from>
    <xdr:to>
      <xdr:col>14</xdr:col>
      <xdr:colOff>620133</xdr:colOff>
      <xdr:row>74</xdr:row>
      <xdr:rowOff>129539</xdr:rowOff>
    </xdr:to>
    <xdr:pic>
      <xdr:nvPicPr>
        <xdr:cNvPr id="3" name="Picture 2" descr="4.2.B.JPG">
          <a:extLst>
            <a:ext uri="{FF2B5EF4-FFF2-40B4-BE49-F238E27FC236}">
              <a16:creationId xmlns:a16="http://schemas.microsoft.com/office/drawing/2014/main" id="{98E761EB-D13C-4FEB-83E2-926ACC9FA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18220" y="10344150"/>
          <a:ext cx="6244590" cy="1992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514350</xdr:colOff>
      <xdr:row>81</xdr:row>
      <xdr:rowOff>0</xdr:rowOff>
    </xdr:from>
    <xdr:to>
      <xdr:col>13</xdr:col>
      <xdr:colOff>253476</xdr:colOff>
      <xdr:row>88</xdr:row>
      <xdr:rowOff>99060</xdr:rowOff>
    </xdr:to>
    <xdr:pic>
      <xdr:nvPicPr>
        <xdr:cNvPr id="4" name="Picture 4" descr="pgen1.JPG">
          <a:extLst>
            <a:ext uri="{FF2B5EF4-FFF2-40B4-BE49-F238E27FC236}">
              <a16:creationId xmlns:a16="http://schemas.microsoft.com/office/drawing/2014/main" id="{D103B66B-2284-4D32-B38C-7EC00EBFC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32520" y="13327380"/>
          <a:ext cx="5185410" cy="12992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247650</xdr:colOff>
      <xdr:row>90</xdr:row>
      <xdr:rowOff>45720</xdr:rowOff>
    </xdr:from>
    <xdr:to>
      <xdr:col>12</xdr:col>
      <xdr:colOff>614307</xdr:colOff>
      <xdr:row>119</xdr:row>
      <xdr:rowOff>83820</xdr:rowOff>
    </xdr:to>
    <xdr:pic>
      <xdr:nvPicPr>
        <xdr:cNvPr id="5" name="Picture 5" descr="pgen2.JPG">
          <a:extLst>
            <a:ext uri="{FF2B5EF4-FFF2-40B4-BE49-F238E27FC236}">
              <a16:creationId xmlns:a16="http://schemas.microsoft.com/office/drawing/2014/main" id="{227D686D-7831-4FB3-9E9D-14D113CEF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5420" y="14939010"/>
          <a:ext cx="4575810" cy="45948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601980</xdr:colOff>
      <xdr:row>26</xdr:row>
      <xdr:rowOff>72390</xdr:rowOff>
    </xdr:from>
    <xdr:to>
      <xdr:col>26</xdr:col>
      <xdr:colOff>752810</xdr:colOff>
      <xdr:row>42</xdr:row>
      <xdr:rowOff>45496</xdr:rowOff>
    </xdr:to>
    <xdr:pic>
      <xdr:nvPicPr>
        <xdr:cNvPr id="6" name="Picture 6" descr="4.2.g.JPG">
          <a:extLst>
            <a:ext uri="{FF2B5EF4-FFF2-40B4-BE49-F238E27FC236}">
              <a16:creationId xmlns:a16="http://schemas.microsoft.com/office/drawing/2014/main" id="{E46DF450-09E3-494B-89E6-AD456A116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34310" y="6012180"/>
          <a:ext cx="7780020" cy="2476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68580</xdr:colOff>
      <xdr:row>44</xdr:row>
      <xdr:rowOff>110490</xdr:rowOff>
    </xdr:from>
    <xdr:to>
      <xdr:col>26</xdr:col>
      <xdr:colOff>36308</xdr:colOff>
      <xdr:row>50</xdr:row>
      <xdr:rowOff>118559</xdr:rowOff>
    </xdr:to>
    <xdr:pic>
      <xdr:nvPicPr>
        <xdr:cNvPr id="7" name="Picture 7" descr="4.2.3.1.JPG">
          <a:extLst>
            <a:ext uri="{FF2B5EF4-FFF2-40B4-BE49-F238E27FC236}">
              <a16:creationId xmlns:a16="http://schemas.microsoft.com/office/drawing/2014/main" id="{0EDA421B-6A37-4F8D-AF21-105ECA679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10510" y="8995410"/>
          <a:ext cx="6248400" cy="9982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19050</xdr:colOff>
      <xdr:row>51</xdr:row>
      <xdr:rowOff>57150</xdr:rowOff>
    </xdr:from>
    <xdr:to>
      <xdr:col>26</xdr:col>
      <xdr:colOff>36308</xdr:colOff>
      <xdr:row>83</xdr:row>
      <xdr:rowOff>51100</xdr:rowOff>
    </xdr:to>
    <xdr:pic>
      <xdr:nvPicPr>
        <xdr:cNvPr id="8" name="Picture 9" descr="4.4.JPG">
          <a:extLst>
            <a:ext uri="{FF2B5EF4-FFF2-40B4-BE49-F238E27FC236}">
              <a16:creationId xmlns:a16="http://schemas.microsoft.com/office/drawing/2014/main" id="{3BCA5BF2-F1BE-42F7-80AC-3DAAF39BD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60980" y="10115550"/>
          <a:ext cx="6297930" cy="5337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200025</xdr:colOff>
      <xdr:row>34</xdr:row>
      <xdr:rowOff>78105</xdr:rowOff>
    </xdr:from>
    <xdr:to>
      <xdr:col>17</xdr:col>
      <xdr:colOff>581025</xdr:colOff>
      <xdr:row>52</xdr:row>
      <xdr:rowOff>40005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5DFB449-4925-426C-B4BE-3529A058083B}"/>
            </a:ext>
          </a:extLst>
        </xdr:cNvPr>
        <xdr:cNvCxnSpPr/>
      </xdr:nvCxnSpPr>
      <xdr:spPr>
        <a:xfrm flipV="1">
          <a:off x="8418195" y="5705475"/>
          <a:ext cx="6995160" cy="29070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</xdr:colOff>
      <xdr:row>33</xdr:row>
      <xdr:rowOff>118110</xdr:rowOff>
    </xdr:from>
    <xdr:to>
      <xdr:col>18</xdr:col>
      <xdr:colOff>9525</xdr:colOff>
      <xdr:row>54</xdr:row>
      <xdr:rowOff>97164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F8149C05-1243-4F7B-A1F8-A4B3F02EB738}"/>
            </a:ext>
          </a:extLst>
        </xdr:cNvPr>
        <xdr:cNvCxnSpPr/>
      </xdr:nvCxnSpPr>
      <xdr:spPr>
        <a:xfrm>
          <a:off x="8265795" y="5589270"/>
          <a:ext cx="7185660" cy="33928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234315</xdr:colOff>
      <xdr:row>48</xdr:row>
      <xdr:rowOff>19050</xdr:rowOff>
    </xdr:from>
    <xdr:to>
      <xdr:col>3</xdr:col>
      <xdr:colOff>28593</xdr:colOff>
      <xdr:row>49</xdr:row>
      <xdr:rowOff>38100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9CD56107-2A8F-4BA9-BAB0-A0B29121B3EB}"/>
            </a:ext>
          </a:extLst>
        </xdr:cNvPr>
        <xdr:cNvCxnSpPr/>
      </xdr:nvCxnSpPr>
      <xdr:spPr>
        <a:xfrm flipV="1">
          <a:off x="6364605" y="7837170"/>
          <a:ext cx="1882158" cy="2019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234315</xdr:colOff>
      <xdr:row>47</xdr:row>
      <xdr:rowOff>78105</xdr:rowOff>
    </xdr:from>
    <xdr:to>
      <xdr:col>3</xdr:col>
      <xdr:colOff>38102</xdr:colOff>
      <xdr:row>49</xdr:row>
      <xdr:rowOff>78105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3232FCEE-C3C3-46FC-BBDE-266D6B13D9B5}"/>
            </a:ext>
          </a:extLst>
        </xdr:cNvPr>
        <xdr:cNvCxnSpPr/>
      </xdr:nvCxnSpPr>
      <xdr:spPr>
        <a:xfrm>
          <a:off x="6364605" y="7740015"/>
          <a:ext cx="1891667" cy="33909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396240</xdr:colOff>
      <xdr:row>50</xdr:row>
      <xdr:rowOff>19050</xdr:rowOff>
    </xdr:from>
    <xdr:to>
      <xdr:col>18</xdr:col>
      <xdr:colOff>123825</xdr:colOff>
      <xdr:row>64</xdr:row>
      <xdr:rowOff>106686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83CD6B0B-E43B-48FC-B5E2-4DC266C5715F}"/>
            </a:ext>
          </a:extLst>
        </xdr:cNvPr>
        <xdr:cNvCxnSpPr/>
      </xdr:nvCxnSpPr>
      <xdr:spPr>
        <a:xfrm flipV="1">
          <a:off x="6907530" y="8176260"/>
          <a:ext cx="8658225" cy="2548896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66675</xdr:colOff>
      <xdr:row>57</xdr:row>
      <xdr:rowOff>87630</xdr:rowOff>
    </xdr:from>
    <xdr:to>
      <xdr:col>18</xdr:col>
      <xdr:colOff>28575</xdr:colOff>
      <xdr:row>59</xdr:row>
      <xdr:rowOff>125730</xdr:rowOff>
    </xdr:to>
    <xdr:cxnSp macro="">
      <xdr:nvCxnSpPr>
        <xdr:cNvPr id="14" name="Elbow Connector 21">
          <a:extLst>
            <a:ext uri="{FF2B5EF4-FFF2-40B4-BE49-F238E27FC236}">
              <a16:creationId xmlns:a16="http://schemas.microsoft.com/office/drawing/2014/main" id="{9A1F5067-1F67-4983-A1C9-0193E86A885C}"/>
            </a:ext>
          </a:extLst>
        </xdr:cNvPr>
        <xdr:cNvCxnSpPr/>
      </xdr:nvCxnSpPr>
      <xdr:spPr>
        <a:xfrm flipV="1">
          <a:off x="7675245" y="9467850"/>
          <a:ext cx="7795260" cy="377190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85725</xdr:colOff>
      <xdr:row>55</xdr:row>
      <xdr:rowOff>118110</xdr:rowOff>
    </xdr:from>
    <xdr:to>
      <xdr:col>18</xdr:col>
      <xdr:colOff>19050</xdr:colOff>
      <xdr:row>79</xdr:row>
      <xdr:rowOff>67628</xdr:rowOff>
    </xdr:to>
    <xdr:cxnSp macro="">
      <xdr:nvCxnSpPr>
        <xdr:cNvPr id="15" name="Elbow Connector 25">
          <a:extLst>
            <a:ext uri="{FF2B5EF4-FFF2-40B4-BE49-F238E27FC236}">
              <a16:creationId xmlns:a16="http://schemas.microsoft.com/office/drawing/2014/main" id="{0FF4E04E-5BF7-4E52-B317-EFC226B064EC}"/>
            </a:ext>
          </a:extLst>
        </xdr:cNvPr>
        <xdr:cNvCxnSpPr/>
      </xdr:nvCxnSpPr>
      <xdr:spPr>
        <a:xfrm>
          <a:off x="8913495" y="9159240"/>
          <a:ext cx="6547485" cy="3896678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152403</xdr:colOff>
      <xdr:row>63</xdr:row>
      <xdr:rowOff>87633</xdr:rowOff>
    </xdr:from>
    <xdr:to>
      <xdr:col>3</xdr:col>
      <xdr:colOff>400050</xdr:colOff>
      <xdr:row>68</xdr:row>
      <xdr:rowOff>63818</xdr:rowOff>
    </xdr:to>
    <xdr:cxnSp macro="">
      <xdr:nvCxnSpPr>
        <xdr:cNvPr id="16" name="Elbow Connector 27">
          <a:extLst>
            <a:ext uri="{FF2B5EF4-FFF2-40B4-BE49-F238E27FC236}">
              <a16:creationId xmlns:a16="http://schemas.microsoft.com/office/drawing/2014/main" id="{0457B0BF-4DC4-4D45-B643-20A9C69BF94A}"/>
            </a:ext>
          </a:extLst>
        </xdr:cNvPr>
        <xdr:cNvCxnSpPr/>
      </xdr:nvCxnSpPr>
      <xdr:spPr>
        <a:xfrm>
          <a:off x="7760973" y="10523223"/>
          <a:ext cx="857247" cy="810575"/>
        </a:xfrm>
        <a:prstGeom prst="bentConnector3">
          <a:avLst>
            <a:gd name="adj1" fmla="val 50000"/>
          </a:avLst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369570</xdr:colOff>
      <xdr:row>92</xdr:row>
      <xdr:rowOff>53340</xdr:rowOff>
    </xdr:from>
    <xdr:to>
      <xdr:col>3</xdr:col>
      <xdr:colOff>88527</xdr:colOff>
      <xdr:row>96</xdr:row>
      <xdr:rowOff>19051</xdr:rowOff>
    </xdr:to>
    <xdr:pic>
      <xdr:nvPicPr>
        <xdr:cNvPr id="17" name="Picture 30" descr="pgen.JPG">
          <a:extLst>
            <a:ext uri="{FF2B5EF4-FFF2-40B4-BE49-F238E27FC236}">
              <a16:creationId xmlns:a16="http://schemas.microsoft.com/office/drawing/2014/main" id="{CA3827AC-FBC9-4449-831C-62DAF466D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9860" y="15259050"/>
          <a:ext cx="215646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0</xdr:colOff>
      <xdr:row>88</xdr:row>
      <xdr:rowOff>0</xdr:rowOff>
    </xdr:from>
    <xdr:to>
      <xdr:col>24</xdr:col>
      <xdr:colOff>472441</xdr:colOff>
      <xdr:row>100</xdr:row>
      <xdr:rowOff>114299</xdr:rowOff>
    </xdr:to>
    <xdr:pic>
      <xdr:nvPicPr>
        <xdr:cNvPr id="18" name="Picture 31" descr="nopos1.JPG">
          <a:extLst>
            <a:ext uri="{FF2B5EF4-FFF2-40B4-BE49-F238E27FC236}">
              <a16:creationId xmlns:a16="http://schemas.microsoft.com/office/drawing/2014/main" id="{404BC7B9-45C7-4A6D-A422-8CB91D941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51530" y="16169640"/>
          <a:ext cx="4335780" cy="20688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144780</xdr:colOff>
      <xdr:row>100</xdr:row>
      <xdr:rowOff>102870</xdr:rowOff>
    </xdr:from>
    <xdr:to>
      <xdr:col>24</xdr:col>
      <xdr:colOff>434341</xdr:colOff>
      <xdr:row>139</xdr:row>
      <xdr:rowOff>7621</xdr:rowOff>
    </xdr:to>
    <xdr:pic>
      <xdr:nvPicPr>
        <xdr:cNvPr id="19" name="Picture 32" descr="nopos2.JPG">
          <a:extLst>
            <a:ext uri="{FF2B5EF4-FFF2-40B4-BE49-F238E27FC236}">
              <a16:creationId xmlns:a16="http://schemas.microsoft.com/office/drawing/2014/main" id="{D44E5CA7-1C24-44A2-B0E9-0F59EC32E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6310" y="18147030"/>
          <a:ext cx="4152900" cy="5996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0</xdr:colOff>
      <xdr:row>111</xdr:row>
      <xdr:rowOff>53340</xdr:rowOff>
    </xdr:from>
    <xdr:to>
      <xdr:col>28</xdr:col>
      <xdr:colOff>99957</xdr:colOff>
      <xdr:row>131</xdr:row>
      <xdr:rowOff>137160</xdr:rowOff>
    </xdr:to>
    <xdr:pic>
      <xdr:nvPicPr>
        <xdr:cNvPr id="20" name="Picture 33" descr="nopos3.JPG">
          <a:extLst>
            <a:ext uri="{FF2B5EF4-FFF2-40B4-BE49-F238E27FC236}">
              <a16:creationId xmlns:a16="http://schemas.microsoft.com/office/drawing/2014/main" id="{F28984AE-022D-4D0F-9678-632E77F88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99680" y="18253710"/>
          <a:ext cx="4038600" cy="32080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537882</xdr:colOff>
      <xdr:row>17</xdr:row>
      <xdr:rowOff>19275</xdr:rowOff>
    </xdr:from>
    <xdr:to>
      <xdr:col>13</xdr:col>
      <xdr:colOff>122816</xdr:colOff>
      <xdr:row>24</xdr:row>
      <xdr:rowOff>100181</xdr:rowOff>
    </xdr:to>
    <xdr:pic>
      <xdr:nvPicPr>
        <xdr:cNvPr id="21" name="Picture 20" descr="20200110_123432.jpg">
          <a:extLst>
            <a:ext uri="{FF2B5EF4-FFF2-40B4-BE49-F238E27FC236}">
              <a16:creationId xmlns:a16="http://schemas.microsoft.com/office/drawing/2014/main" id="{249778E6-F0D6-4249-905E-B7A001F2B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882" y="3009004"/>
          <a:ext cx="6989781" cy="13673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paque_Skiash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nsp_Skias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ΟΡΙΖΟΝΤΑΣ"/>
      <sheetName val="ΠΡΟΒΟΛΟΣ"/>
      <sheetName val="ΠΛΕΥΡΙΚΑ 2"/>
      <sheetName val="Sheet1"/>
      <sheetName val="318"/>
      <sheetName val="319"/>
      <sheetName val="320a"/>
      <sheetName val="320b"/>
    </sheetNames>
    <sheetDataSet>
      <sheetData sheetId="0"/>
      <sheetData sheetId="1"/>
      <sheetData sheetId="2"/>
      <sheetData sheetId="3">
        <row r="1">
          <cell r="B1">
            <v>0.95599999999999996</v>
          </cell>
          <cell r="C1">
            <v>0.96599999999999997</v>
          </cell>
          <cell r="D1">
            <v>0.27900000000000003</v>
          </cell>
          <cell r="E1">
            <v>0.26200000000000001</v>
          </cell>
          <cell r="F1">
            <v>0.85399999999999998</v>
          </cell>
          <cell r="G1">
            <v>0.91800000000000004</v>
          </cell>
        </row>
        <row r="2">
          <cell r="B2">
            <v>0.95099999999999996</v>
          </cell>
          <cell r="C2">
            <v>0.96099999999999997</v>
          </cell>
          <cell r="D2">
            <v>0.60299999999999998</v>
          </cell>
          <cell r="E2">
            <v>0.64700000000000002</v>
          </cell>
          <cell r="F2">
            <v>1</v>
          </cell>
          <cell r="G2">
            <v>1</v>
          </cell>
        </row>
        <row r="3">
          <cell r="B3">
            <v>0.53700000000000003</v>
          </cell>
          <cell r="C3">
            <v>0.64600000000000002</v>
          </cell>
          <cell r="D3">
            <v>0.65600000000000003</v>
          </cell>
          <cell r="E3">
            <v>0.57499999999999996</v>
          </cell>
          <cell r="F3">
            <v>1</v>
          </cell>
          <cell r="G3">
            <v>1</v>
          </cell>
        </row>
        <row r="4">
          <cell r="B4">
            <v>1</v>
          </cell>
          <cell r="C4">
            <v>1</v>
          </cell>
          <cell r="D4">
            <v>0.495</v>
          </cell>
          <cell r="E4">
            <v>0.54500000000000004</v>
          </cell>
          <cell r="F4">
            <v>1</v>
          </cell>
          <cell r="G4">
            <v>1</v>
          </cell>
        </row>
        <row r="5">
          <cell r="B5">
            <v>1</v>
          </cell>
          <cell r="C5">
            <v>1</v>
          </cell>
          <cell r="D5">
            <v>0.38800000000000001</v>
          </cell>
          <cell r="E5">
            <v>0.34799999999999998</v>
          </cell>
          <cell r="F5">
            <v>1</v>
          </cell>
          <cell r="G5">
            <v>1</v>
          </cell>
        </row>
        <row r="6">
          <cell r="B6">
            <v>1</v>
          </cell>
          <cell r="C6">
            <v>1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</row>
        <row r="7">
          <cell r="B7">
            <v>1</v>
          </cell>
          <cell r="C7">
            <v>1</v>
          </cell>
          <cell r="D7">
            <v>1</v>
          </cell>
          <cell r="E7">
            <v>1</v>
          </cell>
          <cell r="F7">
            <v>1</v>
          </cell>
          <cell r="G7">
            <v>1</v>
          </cell>
        </row>
        <row r="8">
          <cell r="B8">
            <v>1</v>
          </cell>
          <cell r="C8">
            <v>1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ΟΡΙΖΟΝΤΑΣ"/>
      <sheetName val="ΠΡΟΒΟΛΟΣ"/>
      <sheetName val="ΠΛΕΥΡΙΚΑ 2"/>
      <sheetName val="Sheet1"/>
      <sheetName val="318"/>
      <sheetName val="319"/>
      <sheetName val="320a"/>
      <sheetName val="320b"/>
    </sheetNames>
    <sheetDataSet>
      <sheetData sheetId="0"/>
      <sheetData sheetId="1"/>
      <sheetData sheetId="2"/>
      <sheetData sheetId="3">
        <row r="1">
          <cell r="B1">
            <v>0.97299999999999998</v>
          </cell>
          <cell r="C1">
            <v>0.98</v>
          </cell>
          <cell r="D1">
            <v>1</v>
          </cell>
          <cell r="E1">
            <v>1</v>
          </cell>
          <cell r="F1">
            <v>0.85399999999999998</v>
          </cell>
          <cell r="G1">
            <v>0.91800000000000004</v>
          </cell>
        </row>
        <row r="2">
          <cell r="B2">
            <v>0.95699999999999996</v>
          </cell>
          <cell r="C2">
            <v>0.96699999999999997</v>
          </cell>
          <cell r="D2">
            <v>0.52300000000000002</v>
          </cell>
          <cell r="E2">
            <v>0.57299999999999995</v>
          </cell>
          <cell r="F2">
            <v>1</v>
          </cell>
          <cell r="G2">
            <v>1</v>
          </cell>
        </row>
        <row r="3">
          <cell r="B3">
            <v>1</v>
          </cell>
          <cell r="C3">
            <v>1</v>
          </cell>
          <cell r="D3">
            <v>0.68400000000000005</v>
          </cell>
          <cell r="E3">
            <v>0.60899999999999999</v>
          </cell>
          <cell r="F3">
            <v>1</v>
          </cell>
          <cell r="G3">
            <v>1</v>
          </cell>
        </row>
        <row r="4">
          <cell r="B4">
            <v>1</v>
          </cell>
          <cell r="C4">
            <v>1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</row>
        <row r="5">
          <cell r="B5">
            <v>1</v>
          </cell>
          <cell r="C5">
            <v>1</v>
          </cell>
          <cell r="D5">
            <v>1</v>
          </cell>
          <cell r="E5">
            <v>1</v>
          </cell>
          <cell r="F5">
            <v>1</v>
          </cell>
          <cell r="G5">
            <v>1</v>
          </cell>
        </row>
        <row r="6">
          <cell r="B6">
            <v>1</v>
          </cell>
          <cell r="C6">
            <v>1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</row>
        <row r="7">
          <cell r="B7">
            <v>1</v>
          </cell>
          <cell r="C7">
            <v>1</v>
          </cell>
          <cell r="D7">
            <v>1</v>
          </cell>
          <cell r="E7">
            <v>1</v>
          </cell>
          <cell r="F7">
            <v>1</v>
          </cell>
          <cell r="G7">
            <v>1</v>
          </cell>
        </row>
        <row r="8">
          <cell r="B8">
            <v>1</v>
          </cell>
          <cell r="C8">
            <v>1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</row>
        <row r="9">
          <cell r="B9">
            <v>1</v>
          </cell>
          <cell r="C9">
            <v>1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</row>
        <row r="10">
          <cell r="B10">
            <v>1</v>
          </cell>
          <cell r="C10">
            <v>1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</row>
        <row r="11">
          <cell r="B11">
            <v>1</v>
          </cell>
          <cell r="C11">
            <v>1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</row>
        <row r="12">
          <cell r="B12">
            <v>1</v>
          </cell>
          <cell r="C12">
            <v>1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</row>
      </sheetData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vangelos Matragos" refreshedDate="43883.733215624998" createdVersion="6" refreshedVersion="6" minRefreshableVersion="3" recordCount="12" xr:uid="{00000000-000A-0000-FFFF-FFFF00000000}">
  <cacheSource type="worksheet">
    <worksheetSource name="Table1"/>
  </cacheSource>
  <cacheFields count="11">
    <cacheField name="ΔΙΑΦΑΝΗ" numFmtId="0">
      <sharedItems containsBlank="1" count="25">
        <s v="A1"/>
        <s v="A2"/>
        <s v="A3"/>
        <s v="A4"/>
        <s v="A5"/>
        <s v="A6"/>
        <s v="A7"/>
        <s v="A8"/>
        <s v="A9"/>
        <s v="A10"/>
        <s v="A11"/>
        <s v="A12"/>
        <m u="1"/>
        <s v="Α1" u="1"/>
        <s v="Α3" u="1"/>
        <s v="Α5" u="1"/>
        <s v="Α7" u="1"/>
        <s v="Α9" u="1"/>
        <s v="Α10" u="1"/>
        <s v="Α11" u="1"/>
        <s v="Α12" u="1"/>
        <s v="Α2" u="1"/>
        <s v="Α4" u="1"/>
        <s v="Α6" u="1"/>
        <s v="Α8" u="1"/>
      </sharedItems>
    </cacheField>
    <cacheField name="ΤΟΙΧΟΣ" numFmtId="0">
      <sharedItems containsBlank="1" count="15">
        <s v="T1"/>
        <s v="T2"/>
        <s v="T3"/>
        <s v="T4"/>
        <s v="T5"/>
        <s v="T6"/>
        <m u="1"/>
        <s v="T7" u="1"/>
        <s v="T9" u="1"/>
        <s v="Τ1" u="1"/>
        <s v="Τ3" u="1"/>
        <s v="Τ5" u="1"/>
        <s v="T8" u="1"/>
        <s v="Τ2" u="1"/>
        <s v="Τ4" u="1"/>
      </sharedItems>
    </cacheField>
    <cacheField name="γ" numFmtId="0">
      <sharedItems containsSemiMixedTypes="0" containsString="0" containsNumber="1" minValue="0" maxValue="90"/>
    </cacheField>
    <cacheField name="β" numFmtId="0">
      <sharedItems containsSemiMixedTypes="0" containsString="0" containsNumber="1" containsInteger="1" minValue="90" maxValue="90"/>
    </cacheField>
    <cacheField name="άνοιγμα" numFmtId="0">
      <sharedItems containsSemiMixedTypes="0" containsString="0" containsNumber="1" minValue="0.4" maxValue="3"/>
    </cacheField>
    <cacheField name="ύψος" numFmtId="0">
      <sharedItems containsSemiMixedTypes="0" containsString="0" containsNumber="1" minValue="0.5" maxValue="3"/>
    </cacheField>
    <cacheField name="Εμβαδό" numFmtId="0">
      <sharedItems containsSemiMixedTypes="0" containsString="0" containsNumber="1" minValue="0.25" maxValue="9"/>
    </cacheField>
    <cacheField name="ΣΥΝΤ. ΔΙΕΙΣΔ" numFmtId="0">
      <sharedItems containsSemiMixedTypes="0" containsString="0" containsNumber="1" minValue="7.4" maxValue="15.1"/>
    </cacheField>
    <cacheField name="ΑΕΡΙΣΜΟΣ" numFmtId="0">
      <sharedItems containsSemiMixedTypes="0" containsString="0" containsNumber="1" minValue="3.7749999999999999" maxValue="90.6"/>
    </cacheField>
    <cacheField name="Column1" numFmtId="0">
      <sharedItems/>
    </cacheField>
    <cacheField name="Column2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n v="0"/>
    <n v="90"/>
    <n v="1"/>
    <n v="2.2999999999999998"/>
    <n v="2.2999999999999998"/>
    <n v="15.1"/>
    <n v="34.729999999999997"/>
    <s v="ΞΥΛΙΝΟ"/>
    <s v="ΠΑΡΑΘΥΡΟ"/>
  </r>
  <r>
    <x v="1"/>
    <x v="1"/>
    <n v="90"/>
    <n v="90"/>
    <n v="2"/>
    <n v="3"/>
    <n v="6"/>
    <n v="15.1"/>
    <n v="90.6"/>
    <s v="ΞΥΛΙΝΟ"/>
    <s v="ΠΑΡΑΘΥΡΟ"/>
  </r>
  <r>
    <x v="2"/>
    <x v="2"/>
    <n v="23"/>
    <n v="90"/>
    <n v="1"/>
    <n v="3"/>
    <n v="3"/>
    <n v="15.1"/>
    <n v="45.3"/>
    <s v="ΞΥΛΙΝΟ"/>
    <s v="ΠΑΡΑΘΥΡΟ"/>
  </r>
  <r>
    <x v="3"/>
    <x v="3"/>
    <n v="45"/>
    <n v="90"/>
    <n v="1"/>
    <n v="1.5"/>
    <n v="1.5"/>
    <n v="15.1"/>
    <n v="22.65"/>
    <s v="ΞΥΛΙΝΟ"/>
    <s v="ΠΑΡΑΘΥΡΟ"/>
  </r>
  <r>
    <x v="4"/>
    <x v="3"/>
    <n v="45"/>
    <n v="90"/>
    <n v="1"/>
    <n v="1"/>
    <n v="1"/>
    <n v="15.1"/>
    <n v="15.1"/>
    <s v="ΞΥΛΙΝΟ"/>
    <s v="ΠΑΡΑΘΥΡΟ"/>
  </r>
  <r>
    <x v="5"/>
    <x v="4"/>
    <n v="49"/>
    <n v="90"/>
    <n v="2"/>
    <n v="2"/>
    <n v="4"/>
    <n v="15.1"/>
    <n v="60.4"/>
    <s v="ΞΥΛΙΝΟ"/>
    <s v="ΠΑΡΑΘΥΡΟ"/>
  </r>
  <r>
    <x v="6"/>
    <x v="4"/>
    <n v="49"/>
    <n v="90"/>
    <n v="0.5"/>
    <n v="2"/>
    <n v="1"/>
    <n v="15.1"/>
    <n v="15.1"/>
    <s v="ΞΥΛΙΝΟ"/>
    <s v="ΠΑΡΑΘΥΡΟ"/>
  </r>
  <r>
    <x v="7"/>
    <x v="5"/>
    <n v="57.3"/>
    <n v="90"/>
    <n v="0.5"/>
    <n v="0.5"/>
    <n v="0.25"/>
    <n v="15.1"/>
    <n v="3.7749999999999999"/>
    <s v="ΞΥΛΙΝΟ"/>
    <s v="ΠΑΡΑΘΥΡΟ"/>
  </r>
  <r>
    <x v="8"/>
    <x v="2"/>
    <n v="23"/>
    <n v="90"/>
    <n v="0.6"/>
    <n v="0.6"/>
    <n v="0.36"/>
    <n v="15.1"/>
    <n v="5.4359999999999999"/>
    <s v="ΞΥΛΙΝΟ"/>
    <s v="ΠΑΡΑΘΥΡΟ"/>
  </r>
  <r>
    <x v="9"/>
    <x v="2"/>
    <n v="23"/>
    <n v="90"/>
    <n v="0.7"/>
    <n v="0.8"/>
    <n v="0.55999999999999994"/>
    <n v="15.1"/>
    <n v="8.4559999999999995"/>
    <s v="ΞΥΛΙΝΟ"/>
    <s v="ΠΑΡΑΘΥΡΟ"/>
  </r>
  <r>
    <x v="10"/>
    <x v="4"/>
    <n v="49"/>
    <n v="90"/>
    <n v="0.4"/>
    <n v="2"/>
    <n v="0.8"/>
    <n v="15.1"/>
    <n v="12.08"/>
    <s v="ΞΥΛΙΝΟ"/>
    <s v="ΠΑΡΑΘΥΡΟ"/>
  </r>
  <r>
    <x v="11"/>
    <x v="1"/>
    <n v="90"/>
    <n v="90"/>
    <n v="3"/>
    <n v="3"/>
    <n v="9"/>
    <n v="7.4"/>
    <n v="66.600000000000009"/>
    <s v="ΑΛΟΥΜΙΝΙΟ"/>
    <s v="ΠΟΡΤΑ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K1:AR15" firstHeaderRow="1" firstDataRow="2" firstDataCol="1"/>
  <pivotFields count="11">
    <pivotField axis="axisRow" showAll="0">
      <items count="26">
        <item x="0"/>
        <item x="1"/>
        <item x="2"/>
        <item x="3"/>
        <item x="4"/>
        <item m="1" x="12"/>
        <item x="5"/>
        <item x="6"/>
        <item x="7"/>
        <item x="8"/>
        <item m="1" x="13"/>
        <item m="1" x="21"/>
        <item m="1" x="14"/>
        <item m="1" x="22"/>
        <item m="1" x="15"/>
        <item m="1" x="23"/>
        <item m="1" x="16"/>
        <item m="1" x="24"/>
        <item m="1" x="17"/>
        <item m="1" x="18"/>
        <item m="1" x="19"/>
        <item m="1" x="20"/>
        <item x="9"/>
        <item x="10"/>
        <item x="11"/>
        <item t="default"/>
      </items>
    </pivotField>
    <pivotField axis="axisCol" showAll="0">
      <items count="16">
        <item x="0"/>
        <item x="2"/>
        <item x="3"/>
        <item m="1" x="6"/>
        <item x="1"/>
        <item x="5"/>
        <item m="1" x="7"/>
        <item x="4"/>
        <item m="1" x="12"/>
        <item m="1" x="8"/>
        <item m="1" x="9"/>
        <item m="1" x="13"/>
        <item m="1" x="10"/>
        <item m="1" x="14"/>
        <item m="1"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>
      <x v="22"/>
    </i>
    <i>
      <x v="23"/>
    </i>
    <i>
      <x v="24"/>
    </i>
    <i t="grand">
      <x/>
    </i>
  </rowItems>
  <colFields count="1">
    <field x="1"/>
  </colFields>
  <colItems count="7">
    <i>
      <x/>
    </i>
    <i>
      <x v="1"/>
    </i>
    <i>
      <x v="2"/>
    </i>
    <i>
      <x v="4"/>
    </i>
    <i>
      <x v="5"/>
    </i>
    <i>
      <x v="7"/>
    </i>
    <i t="grand">
      <x/>
    </i>
  </colItems>
  <dataFields count="1">
    <dataField name="pinakas2" fld="6" baseField="0" baseItem="0"/>
  </dataFields>
  <formats count="5">
    <format dxfId="56">
      <pivotArea dataOnly="0" labelOnly="1" fieldPosition="0">
        <references count="1">
          <reference field="1" count="1">
            <x v="0"/>
          </reference>
        </references>
      </pivotArea>
    </format>
    <format dxfId="55">
      <pivotArea collapsedLevelsAreSubtotals="1" fieldPosition="0">
        <references count="1">
          <reference field="0" count="0"/>
        </references>
      </pivotArea>
    </format>
    <format dxfId="54">
      <pivotArea grandRow="1" outline="0" collapsedLevelsAreSubtotals="1" fieldPosition="0"/>
    </format>
    <format dxfId="53">
      <pivotArea collapsedLevelsAreSubtotals="1" fieldPosition="0">
        <references count="1">
          <reference field="0" count="0"/>
        </references>
      </pivotArea>
    </format>
    <format dxfId="52">
      <pivotArea dataOnly="0" labelOnly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Y1:AI13" totalsRowShown="0" headerRowDxfId="51" dataDxfId="50" headerRowCellStyle="Normal 2" dataCellStyle="Normal 2">
  <autoFilter ref="Y1:AI13" xr:uid="{00000000-0009-0000-0100-000001000000}"/>
  <tableColumns count="11">
    <tableColumn id="1" xr3:uid="{00000000-0010-0000-0000-000001000000}" name="ΔΙΑΦΑΝΗ" dataDxfId="49" totalsRowDxfId="48" dataCellStyle="Normal 2"/>
    <tableColumn id="2" xr3:uid="{00000000-0010-0000-0000-000002000000}" name="ΤΟΙΧΟΣ" dataDxfId="47" totalsRowDxfId="46" dataCellStyle="Normal 2"/>
    <tableColumn id="3" xr3:uid="{00000000-0010-0000-0000-000003000000}" name="γ" dataDxfId="45" totalsRowDxfId="44" dataCellStyle="Normal 2">
      <calculatedColumnFormula>VLOOKUP(Table1[[#This Row],[ΤΟΙΧΟΣ]],Table13[[ΤΟΙΧΟΣ]:[γ]],2)</calculatedColumnFormula>
    </tableColumn>
    <tableColumn id="4" xr3:uid="{00000000-0010-0000-0000-000004000000}" name="β" dataDxfId="43" totalsRowDxfId="42" dataCellStyle="Normal 2"/>
    <tableColumn id="5" xr3:uid="{00000000-0010-0000-0000-000005000000}" name="άνοιγμα" dataDxfId="41" totalsRowDxfId="40" dataCellStyle="Normal 2"/>
    <tableColumn id="6" xr3:uid="{00000000-0010-0000-0000-000006000000}" name="ύψος" dataDxfId="39" totalsRowDxfId="38" dataCellStyle="Normal 2"/>
    <tableColumn id="7" xr3:uid="{00000000-0010-0000-0000-000007000000}" name="Εμβαδό" dataDxfId="2" totalsRowDxfId="37" dataCellStyle="Normal 2">
      <calculatedColumnFormula>ROUND(Table1[[#This Row],[ύψος]]*Table1[[#This Row],[άνοιγμα]],3)</calculatedColumnFormula>
    </tableColumn>
    <tableColumn id="8" xr3:uid="{00000000-0010-0000-0000-000008000000}" name="ΣΥΝΤ. ΔΙΕΙΣΔ" dataDxfId="36" totalsRowDxfId="35" dataCellStyle="Normal 2">
      <calculatedColumnFormula>IF(AND(AH2="ΞΥΛΙΝΟ",AI2="ΠΟΡΤΑ"),11.8,IF(AND(AH2="ΞΥΛΙΝΟ",AI2="ΠΑΡΑΘΥΡΟ"),15.1,IF(AND(AH2="ΑΛΟΥΜΙΝΙΟ",AI2="ΠΟΡΤΑ"),7.4,IF(AND(AH2="ΑΛΟΥΜΙΝΙΟ",AI2="ΠΑΡΑΘΥΡΟ"),8.7))))</calculatedColumnFormula>
    </tableColumn>
    <tableColumn id="11" xr3:uid="{00000000-0010-0000-0000-00000B000000}" name="ΑΕΡΙΣΜΟΣ" dataDxfId="34" totalsRowDxfId="33" dataCellStyle="Normal 2">
      <calculatedColumnFormula>Table1[[#This Row],[ΣΥΝΤ. ΔΙΕΙΣΔ]]*Table1[[#This Row],[Εμβαδό]]</calculatedColumnFormula>
    </tableColumn>
    <tableColumn id="9" xr3:uid="{00000000-0010-0000-0000-000009000000}" name="Column1" dataDxfId="32" totalsRowDxfId="31" dataCellStyle="Normal 2"/>
    <tableColumn id="10" xr3:uid="{00000000-0010-0000-0000-00000A000000}" name="Column2" dataDxfId="30" totalsRowDxfId="29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L1:V9" totalsRowShown="0" dataDxfId="28" headerRowCellStyle="Normal 2" dataCellStyle="Normal 2">
  <autoFilter ref="L1:V9" xr:uid="{00000000-0009-0000-0100-000002000000}"/>
  <tableColumns count="11">
    <tableColumn id="2" xr3:uid="{00000000-0010-0000-0100-000002000000}" name="ΤΟΙΧΟΣ" dataDxfId="27" totalsRowDxfId="26" dataCellStyle="Normal 2"/>
    <tableColumn id="3" xr3:uid="{00000000-0010-0000-0100-000003000000}" name="γ" dataDxfId="25" totalsRowDxfId="24" dataCellStyle="Normal 2"/>
    <tableColumn id="4" xr3:uid="{00000000-0010-0000-0100-000004000000}" name="β" dataDxfId="23" totalsRowDxfId="22" dataCellStyle="Normal 2"/>
    <tableColumn id="5" xr3:uid="{00000000-0010-0000-0100-000005000000}" name="Μήκος" dataDxfId="21" totalsRowDxfId="20" dataCellStyle="Normal 2"/>
    <tableColumn id="6" xr3:uid="{00000000-0010-0000-0100-000006000000}" name="ύψος" dataDxfId="19" totalsRowDxfId="18" dataCellStyle="Normal 2">
      <calculatedColumnFormula>ΥΨΟΣ</calculatedColumnFormula>
    </tableColumn>
    <tableColumn id="7" xr3:uid="{00000000-0010-0000-0100-000007000000}" name="Εμβαδό μεικτό" dataDxfId="17" totalsRowDxfId="16" dataCellStyle="Normal 2">
      <calculatedColumnFormula>O2*P2</calculatedColumnFormula>
    </tableColumn>
    <tableColumn id="8" xr3:uid="{00000000-0010-0000-0100-000008000000}" name="εμβαδο ανοιγματων" dataDxfId="15" totalsRowDxfId="14" dataCellStyle="Normal 2">
      <calculatedColumnFormula>IFERROR(GETPIVOTDATA("Εμβαδό",$AK$1,"ΤΟΙΧΟΣ",Table13[[#This Row],[ΤΟΙΧΟΣ]]),0)</calculatedColumnFormula>
    </tableColumn>
    <tableColumn id="1" xr3:uid="{00000000-0010-0000-0100-000001000000}" name="Εμβαδό ΦΟ" dataDxfId="13" totalsRowDxfId="12" dataCellStyle="Normal 2">
      <calculatedColumnFormula>Table13[[#This Row],[Εμβαδό μεικτό]]*ΦΕΡΩΝ/100</calculatedColumnFormula>
    </tableColumn>
    <tableColumn id="9" xr3:uid="{00000000-0010-0000-0100-000009000000}" name="Εμβαδό τοιχου" dataDxfId="1" totalsRowDxfId="11" dataCellStyle="Normal 2">
      <calculatedColumnFormula>ROUND(Table13[[#This Row],[Εμβαδό μεικτό]]-Table13[[#This Row],[εμβαδο ανοιγματων]]-Table13[[#This Row],[Εμβαδό ΦΟ]],2)</calculatedColumnFormula>
    </tableColumn>
    <tableColumn id="11" xr3:uid="{00000000-0010-0000-0100-00000B000000}" name="ΣΥΝΤ-ΜΘΧ" dataDxfId="10" totalsRowDxfId="9" dataCellStyle="Normal 2">
      <calculatedColumnFormula>IF(K2="ΜΘΧ",0.5,1)</calculatedColumnFormula>
    </tableColumn>
    <tableColumn id="10" xr3:uid="{00000000-0010-0000-0100-00000A000000}" name="Uτοιχου" dataDxfId="0" totalsRowDxfId="8" dataCellStyle="Normal 2">
      <calculatedColumnFormula>ROUND(Table13[[#This Row],[ΣΥΝΤ-ΜΘΧ]]*(Table13[[#This Row],[Εμβαδό τοιχου]]*Ut+Table13[[#This Row],[Εμβαδό ΦΟ]]*Ud)/(Table13[[#This Row],[Εμβαδό ΦΟ]]+Table13[[#This Row],[Εμβαδό τοιχου]]),3)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22"/>
  <sheetViews>
    <sheetView tabSelected="1" workbookViewId="0">
      <selection activeCell="E10" sqref="E10:J18"/>
    </sheetView>
  </sheetViews>
  <sheetFormatPr defaultRowHeight="14.4" x14ac:dyDescent="0.55000000000000004"/>
  <cols>
    <col min="2" max="2" width="16.26171875" customWidth="1"/>
    <col min="3" max="4" width="11.26171875" customWidth="1"/>
    <col min="5" max="5" width="9.83984375" customWidth="1"/>
    <col min="6" max="6" width="4.15625" bestFit="1" customWidth="1"/>
    <col min="7" max="7" width="9.68359375" bestFit="1" customWidth="1"/>
    <col min="8" max="8" width="3.68359375" bestFit="1" customWidth="1"/>
    <col min="9" max="9" width="5.89453125" customWidth="1"/>
    <col min="10" max="10" width="11.26171875" customWidth="1"/>
    <col min="11" max="11" width="9.15625" customWidth="1"/>
    <col min="12" max="12" width="12.15625" customWidth="1"/>
    <col min="13" max="13" width="7.83984375" customWidth="1"/>
    <col min="14" max="14" width="9.15625" customWidth="1"/>
    <col min="15" max="15" width="12.15625" customWidth="1"/>
    <col min="16" max="16" width="7.83984375" customWidth="1"/>
    <col min="17" max="17" width="9.15625" customWidth="1"/>
    <col min="18" max="18" width="12.15625" bestFit="1" customWidth="1"/>
    <col min="19" max="19" width="7.83984375" customWidth="1"/>
    <col min="21" max="21" width="12.15625" bestFit="1" customWidth="1"/>
    <col min="22" max="22" width="7.83984375" customWidth="1"/>
    <col min="23" max="23" width="11.26171875" bestFit="1" customWidth="1"/>
  </cols>
  <sheetData>
    <row r="1" spans="2:15" x14ac:dyDescent="0.55000000000000004">
      <c r="B1" s="33" t="str">
        <f>IF(kelyfos!L2="",,kelyfos!L2)</f>
        <v>T1</v>
      </c>
      <c r="C1" s="19">
        <f>kelyfos!M2</f>
        <v>0</v>
      </c>
      <c r="D1">
        <f>kelyfos!N2</f>
        <v>0</v>
      </c>
      <c r="E1" s="27">
        <f>kelyfos!T2</f>
        <v>9.6999999999999993</v>
      </c>
      <c r="F1" s="27">
        <f>kelyfos!V2</f>
        <v>1.242</v>
      </c>
      <c r="G1">
        <v>0.04</v>
      </c>
      <c r="H1">
        <v>0.8</v>
      </c>
      <c r="I1">
        <v>0.8</v>
      </c>
      <c r="J1" s="27">
        <f>[1]Sheet1!B1</f>
        <v>0.95599999999999996</v>
      </c>
      <c r="K1" s="27">
        <f>[1]Sheet1!C1</f>
        <v>0.96599999999999997</v>
      </c>
      <c r="L1" s="27">
        <f>[1]Sheet1!D1</f>
        <v>0.27900000000000003</v>
      </c>
      <c r="M1" s="27">
        <f>[1]Sheet1!E1</f>
        <v>0.26200000000000001</v>
      </c>
      <c r="N1" s="27">
        <f>[1]Sheet1!F1</f>
        <v>0.85399999999999998</v>
      </c>
      <c r="O1" s="27">
        <f>[1]Sheet1!G1</f>
        <v>0.91800000000000004</v>
      </c>
    </row>
    <row r="2" spans="2:15" x14ac:dyDescent="0.55000000000000004">
      <c r="B2" s="33" t="str">
        <f>IF(kelyfos!L3="",,kelyfos!L3)</f>
        <v>T2</v>
      </c>
      <c r="C2" s="19">
        <f>kelyfos!M3</f>
        <v>90</v>
      </c>
      <c r="D2">
        <f>kelyfos!N3</f>
        <v>0</v>
      </c>
      <c r="E2" s="27">
        <f>kelyfos!T3</f>
        <v>1.8</v>
      </c>
      <c r="F2" s="27">
        <f>kelyfos!V3</f>
        <v>3.04</v>
      </c>
      <c r="G2">
        <v>0.04</v>
      </c>
      <c r="H2">
        <v>0.8</v>
      </c>
      <c r="I2">
        <v>0.8</v>
      </c>
      <c r="J2" s="27">
        <f>[1]Sheet1!B2</f>
        <v>0.95099999999999996</v>
      </c>
      <c r="K2" s="27">
        <f>[1]Sheet1!C2</f>
        <v>0.96099999999999997</v>
      </c>
      <c r="L2" s="27">
        <f>[1]Sheet1!D2</f>
        <v>0.60299999999999998</v>
      </c>
      <c r="M2" s="27">
        <f>[1]Sheet1!E2</f>
        <v>0.64700000000000002</v>
      </c>
      <c r="N2" s="27">
        <f>[1]Sheet1!F2</f>
        <v>1</v>
      </c>
      <c r="O2" s="27">
        <f>[1]Sheet1!G2</f>
        <v>1</v>
      </c>
    </row>
    <row r="3" spans="2:15" x14ac:dyDescent="0.55000000000000004">
      <c r="B3" s="33" t="str">
        <f>IF(kelyfos!L4="",,kelyfos!L4)</f>
        <v>T3</v>
      </c>
      <c r="C3" s="19">
        <f>kelyfos!M4</f>
        <v>23</v>
      </c>
      <c r="D3">
        <f>kelyfos!N4</f>
        <v>0</v>
      </c>
      <c r="E3" s="27">
        <f>kelyfos!T4</f>
        <v>3.28</v>
      </c>
      <c r="F3" s="27">
        <f>kelyfos!V4</f>
        <v>2.625</v>
      </c>
      <c r="G3">
        <v>0.04</v>
      </c>
      <c r="H3">
        <v>0.8</v>
      </c>
      <c r="I3">
        <v>0.8</v>
      </c>
      <c r="J3" s="27">
        <f>[1]Sheet1!B3</f>
        <v>0.53700000000000003</v>
      </c>
      <c r="K3" s="27">
        <f>[1]Sheet1!C3</f>
        <v>0.64600000000000002</v>
      </c>
      <c r="L3" s="27">
        <f>[1]Sheet1!D3</f>
        <v>0.65600000000000003</v>
      </c>
      <c r="M3" s="27">
        <f>[1]Sheet1!E3</f>
        <v>0.57499999999999996</v>
      </c>
      <c r="N3" s="27">
        <f>[1]Sheet1!F3</f>
        <v>1</v>
      </c>
      <c r="O3" s="27">
        <f>[1]Sheet1!G3</f>
        <v>1</v>
      </c>
    </row>
    <row r="4" spans="2:15" x14ac:dyDescent="0.55000000000000004">
      <c r="B4" s="33" t="str">
        <f>IF(kelyfos!L5="",,kelyfos!L5)</f>
        <v>T4</v>
      </c>
      <c r="C4" s="19">
        <f>kelyfos!M5</f>
        <v>45</v>
      </c>
      <c r="D4">
        <f>kelyfos!N5</f>
        <v>0</v>
      </c>
      <c r="E4" s="27">
        <f>kelyfos!T5</f>
        <v>2.2999999999999998</v>
      </c>
      <c r="F4" s="27">
        <f>kelyfos!V5</f>
        <v>2.6110000000000002</v>
      </c>
      <c r="G4">
        <v>0.04</v>
      </c>
      <c r="H4">
        <v>0.8</v>
      </c>
      <c r="I4">
        <v>0.8</v>
      </c>
      <c r="J4" s="27">
        <f>[1]Sheet1!B4</f>
        <v>1</v>
      </c>
      <c r="K4" s="27">
        <f>[1]Sheet1!C4</f>
        <v>1</v>
      </c>
      <c r="L4" s="27">
        <f>[1]Sheet1!D4</f>
        <v>0.495</v>
      </c>
      <c r="M4" s="27">
        <f>[1]Sheet1!E4</f>
        <v>0.54500000000000004</v>
      </c>
      <c r="N4" s="27">
        <f>[1]Sheet1!F4</f>
        <v>1</v>
      </c>
      <c r="O4" s="27">
        <f>[1]Sheet1!G4</f>
        <v>1</v>
      </c>
    </row>
    <row r="5" spans="2:15" x14ac:dyDescent="0.55000000000000004">
      <c r="B5" s="33" t="str">
        <f>IF(kelyfos!L6="",,kelyfos!L6)</f>
        <v>T5</v>
      </c>
      <c r="C5" s="19">
        <f>kelyfos!M6</f>
        <v>49</v>
      </c>
      <c r="D5">
        <f>kelyfos!N6</f>
        <v>0</v>
      </c>
      <c r="E5" s="27">
        <f>kelyfos!T6</f>
        <v>3.8</v>
      </c>
      <c r="F5" s="27">
        <f>kelyfos!V6</f>
        <v>2.665</v>
      </c>
      <c r="G5">
        <v>0.04</v>
      </c>
      <c r="H5">
        <v>0.8</v>
      </c>
      <c r="I5">
        <v>0.8</v>
      </c>
      <c r="J5" s="27">
        <f>[1]Sheet1!B5</f>
        <v>1</v>
      </c>
      <c r="K5" s="27">
        <f>[1]Sheet1!C5</f>
        <v>1</v>
      </c>
      <c r="L5" s="27">
        <f>[1]Sheet1!D5</f>
        <v>0.38800000000000001</v>
      </c>
      <c r="M5" s="27">
        <f>[1]Sheet1!E5</f>
        <v>0.34799999999999998</v>
      </c>
      <c r="N5" s="27">
        <f>[1]Sheet1!F5</f>
        <v>1</v>
      </c>
      <c r="O5" s="27">
        <f>[1]Sheet1!G5</f>
        <v>1</v>
      </c>
    </row>
    <row r="6" spans="2:15" x14ac:dyDescent="0.55000000000000004">
      <c r="B6" s="33" t="str">
        <f>IF(kelyfos!L7="",,kelyfos!L7)</f>
        <v>T6</v>
      </c>
      <c r="C6" s="19">
        <f>kelyfos!M7</f>
        <v>57.3</v>
      </c>
      <c r="D6">
        <f>kelyfos!N7</f>
        <v>0</v>
      </c>
      <c r="E6" s="27">
        <f>kelyfos!T7</f>
        <v>18.95</v>
      </c>
      <c r="F6" s="27">
        <f>kelyfos!V7</f>
        <v>2.4430000000000001</v>
      </c>
      <c r="G6">
        <v>0.04</v>
      </c>
      <c r="H6">
        <v>0.8</v>
      </c>
      <c r="I6">
        <v>0.8</v>
      </c>
      <c r="J6" s="27">
        <f>[1]Sheet1!B6</f>
        <v>1</v>
      </c>
      <c r="K6" s="27">
        <f>[1]Sheet1!C6</f>
        <v>1</v>
      </c>
      <c r="L6" s="27">
        <f>[1]Sheet1!D6</f>
        <v>1</v>
      </c>
      <c r="M6" s="27">
        <f>[1]Sheet1!E6</f>
        <v>1</v>
      </c>
      <c r="N6" s="27">
        <f>[1]Sheet1!F6</f>
        <v>1</v>
      </c>
      <c r="O6" s="27">
        <f>[1]Sheet1!G6</f>
        <v>1</v>
      </c>
    </row>
    <row r="7" spans="2:15" x14ac:dyDescent="0.55000000000000004">
      <c r="B7" s="33" t="str">
        <f>IF(kelyfos!L8="",,kelyfos!L8)</f>
        <v>T7</v>
      </c>
      <c r="C7" s="19">
        <f>kelyfos!M8</f>
        <v>45</v>
      </c>
      <c r="D7">
        <f>kelyfos!N8</f>
        <v>0</v>
      </c>
      <c r="E7" s="27">
        <f>kelyfos!T8</f>
        <v>7.2</v>
      </c>
      <c r="F7" s="27">
        <f>kelyfos!V8</f>
        <v>2.44</v>
      </c>
      <c r="G7">
        <v>0.04</v>
      </c>
      <c r="H7">
        <v>0.8</v>
      </c>
      <c r="I7">
        <v>0.8</v>
      </c>
      <c r="J7" s="27">
        <f>[1]Sheet1!B7</f>
        <v>1</v>
      </c>
      <c r="K7" s="27">
        <f>[1]Sheet1!C7</f>
        <v>1</v>
      </c>
      <c r="L7" s="27">
        <f>[1]Sheet1!D7</f>
        <v>1</v>
      </c>
      <c r="M7" s="27">
        <f>[1]Sheet1!E7</f>
        <v>1</v>
      </c>
      <c r="N7" s="27">
        <f>[1]Sheet1!F7</f>
        <v>1</v>
      </c>
      <c r="O7" s="27">
        <f>[1]Sheet1!G7</f>
        <v>1</v>
      </c>
    </row>
    <row r="8" spans="2:15" x14ac:dyDescent="0.55000000000000004">
      <c r="B8" s="33" t="str">
        <f>IF(kelyfos!L9="",,kelyfos!L9)</f>
        <v>T8</v>
      </c>
      <c r="C8" s="19">
        <f>kelyfos!M9</f>
        <v>68</v>
      </c>
      <c r="D8">
        <f>kelyfos!N9</f>
        <v>0</v>
      </c>
      <c r="E8" s="27">
        <f>kelyfos!T9</f>
        <v>19.2</v>
      </c>
      <c r="F8" s="27">
        <f>kelyfos!V9</f>
        <v>2.44</v>
      </c>
      <c r="G8">
        <v>0.04</v>
      </c>
      <c r="H8">
        <v>0.8</v>
      </c>
      <c r="I8">
        <v>0.8</v>
      </c>
      <c r="J8" s="27">
        <f>[1]Sheet1!B8</f>
        <v>1</v>
      </c>
      <c r="K8" s="27">
        <f>[1]Sheet1!C8</f>
        <v>1</v>
      </c>
      <c r="L8" s="27">
        <f>[1]Sheet1!D8</f>
        <v>1</v>
      </c>
      <c r="M8" s="27">
        <f>[1]Sheet1!E8</f>
        <v>1</v>
      </c>
      <c r="N8" s="27">
        <f>[1]Sheet1!F8</f>
        <v>1</v>
      </c>
      <c r="O8" s="27">
        <f>[1]Sheet1!G8</f>
        <v>1</v>
      </c>
    </row>
    <row r="9" spans="2:15" x14ac:dyDescent="0.55000000000000004">
      <c r="B9" s="33"/>
      <c r="J9" s="27"/>
      <c r="K9" s="27"/>
      <c r="L9" s="27"/>
      <c r="M9" s="27"/>
      <c r="N9" s="27"/>
      <c r="O9" s="27"/>
    </row>
    <row r="10" spans="2:15" x14ac:dyDescent="0.55000000000000004">
      <c r="B10" s="33"/>
      <c r="J10" s="27"/>
      <c r="K10" s="27"/>
      <c r="L10" s="27"/>
      <c r="M10" s="27"/>
      <c r="N10" s="27"/>
      <c r="O10" s="27"/>
    </row>
    <row r="11" spans="2:15" x14ac:dyDescent="0.55000000000000004">
      <c r="B11" s="33"/>
      <c r="J11" s="27"/>
      <c r="K11" s="27"/>
      <c r="L11" s="27"/>
      <c r="M11" s="27"/>
      <c r="N11" s="27"/>
      <c r="O11" s="27"/>
    </row>
    <row r="12" spans="2:15" x14ac:dyDescent="0.55000000000000004">
      <c r="B12" s="33"/>
    </row>
    <row r="13" spans="2:15" x14ac:dyDescent="0.55000000000000004">
      <c r="B13" s="33"/>
    </row>
    <row r="14" spans="2:15" x14ac:dyDescent="0.55000000000000004">
      <c r="B14" s="33"/>
    </row>
    <row r="15" spans="2:15" x14ac:dyDescent="0.55000000000000004">
      <c r="B15" s="33"/>
    </row>
    <row r="16" spans="2:15" x14ac:dyDescent="0.55000000000000004">
      <c r="B16" s="33"/>
    </row>
    <row r="17" spans="2:2" x14ac:dyDescent="0.55000000000000004">
      <c r="B17" s="33"/>
    </row>
    <row r="18" spans="2:2" x14ac:dyDescent="0.55000000000000004">
      <c r="B18" s="33"/>
    </row>
    <row r="19" spans="2:2" x14ac:dyDescent="0.55000000000000004">
      <c r="B19" s="33"/>
    </row>
    <row r="20" spans="2:2" x14ac:dyDescent="0.55000000000000004">
      <c r="B20" s="33"/>
    </row>
    <row r="21" spans="2:2" x14ac:dyDescent="0.55000000000000004">
      <c r="B21" s="33"/>
    </row>
    <row r="22" spans="2:2" x14ac:dyDescent="0.55000000000000004">
      <c r="B22" s="3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13"/>
  <sheetViews>
    <sheetView workbookViewId="0">
      <selection activeCell="E15" sqref="E15"/>
    </sheetView>
  </sheetViews>
  <sheetFormatPr defaultRowHeight="14.4" x14ac:dyDescent="0.55000000000000004"/>
  <sheetData>
    <row r="1" spans="2:14" x14ac:dyDescent="0.55000000000000004">
      <c r="B1" t="str">
        <f>kelyfos!Y2</f>
        <v>A1</v>
      </c>
      <c r="C1">
        <f>kelyfos!AA2</f>
        <v>0</v>
      </c>
      <c r="D1">
        <f>kelyfos!AB2</f>
        <v>90</v>
      </c>
      <c r="E1" s="27">
        <f>kelyfos!AE2</f>
        <v>2.2999999999999998</v>
      </c>
      <c r="F1" s="27"/>
      <c r="G1" s="33"/>
      <c r="H1" s="33">
        <v>0.48</v>
      </c>
      <c r="I1" s="27">
        <f>[2]Sheet1!B1</f>
        <v>0.97299999999999998</v>
      </c>
      <c r="J1" s="27">
        <f>[2]Sheet1!C1</f>
        <v>0.98</v>
      </c>
      <c r="K1" s="27">
        <f>[2]Sheet1!D1</f>
        <v>1</v>
      </c>
      <c r="L1" s="27">
        <f>[2]Sheet1!E1</f>
        <v>1</v>
      </c>
      <c r="M1" s="27">
        <f>[2]Sheet1!F1</f>
        <v>0.85399999999999998</v>
      </c>
      <c r="N1" s="27">
        <f>[2]Sheet1!G1</f>
        <v>0.91800000000000004</v>
      </c>
    </row>
    <row r="2" spans="2:14" x14ac:dyDescent="0.55000000000000004">
      <c r="B2" t="str">
        <f>kelyfos!Y3</f>
        <v>A2</v>
      </c>
      <c r="C2">
        <f>kelyfos!AA3</f>
        <v>90</v>
      </c>
      <c r="D2">
        <f>kelyfos!AB3</f>
        <v>90</v>
      </c>
      <c r="E2" s="27">
        <f>kelyfos!AE3</f>
        <v>6</v>
      </c>
      <c r="F2" s="27"/>
      <c r="G2" s="33"/>
      <c r="H2" s="33">
        <v>0.48</v>
      </c>
      <c r="I2" s="27">
        <f>[2]Sheet1!B2</f>
        <v>0.95699999999999996</v>
      </c>
      <c r="J2" s="27">
        <f>[2]Sheet1!C2</f>
        <v>0.96699999999999997</v>
      </c>
      <c r="K2" s="27">
        <f>[2]Sheet1!D2</f>
        <v>0.52300000000000002</v>
      </c>
      <c r="L2" s="27">
        <f>[2]Sheet1!E2</f>
        <v>0.57299999999999995</v>
      </c>
      <c r="M2" s="27">
        <f>[2]Sheet1!F2</f>
        <v>1</v>
      </c>
      <c r="N2" s="27">
        <f>[2]Sheet1!G2</f>
        <v>1</v>
      </c>
    </row>
    <row r="3" spans="2:14" x14ac:dyDescent="0.55000000000000004">
      <c r="B3" t="str">
        <f>kelyfos!Y4</f>
        <v>A3</v>
      </c>
      <c r="C3">
        <f>kelyfos!AA4</f>
        <v>23</v>
      </c>
      <c r="D3">
        <f>kelyfos!AB4</f>
        <v>90</v>
      </c>
      <c r="E3" s="27">
        <f>kelyfos!AE4</f>
        <v>3</v>
      </c>
      <c r="F3" s="27"/>
      <c r="G3" s="33"/>
      <c r="H3" s="33">
        <v>0.48</v>
      </c>
      <c r="I3" s="27">
        <f>[2]Sheet1!B3</f>
        <v>1</v>
      </c>
      <c r="J3" s="27">
        <f>[2]Sheet1!C3</f>
        <v>1</v>
      </c>
      <c r="K3" s="27">
        <f>[2]Sheet1!D3</f>
        <v>0.68400000000000005</v>
      </c>
      <c r="L3" s="27">
        <f>[2]Sheet1!E3</f>
        <v>0.60899999999999999</v>
      </c>
      <c r="M3" s="27">
        <f>[2]Sheet1!F3</f>
        <v>1</v>
      </c>
      <c r="N3" s="27">
        <f>[2]Sheet1!G3</f>
        <v>1</v>
      </c>
    </row>
    <row r="4" spans="2:14" x14ac:dyDescent="0.55000000000000004">
      <c r="B4" t="str">
        <f>kelyfos!Y5</f>
        <v>A4</v>
      </c>
      <c r="C4">
        <f>kelyfos!AA5</f>
        <v>45</v>
      </c>
      <c r="D4">
        <f>kelyfos!AB5</f>
        <v>90</v>
      </c>
      <c r="E4" s="27">
        <f>kelyfos!AE5</f>
        <v>1.5</v>
      </c>
      <c r="F4" s="27"/>
      <c r="G4" s="33"/>
      <c r="H4" s="33">
        <v>0.48</v>
      </c>
      <c r="I4" s="27">
        <f>[2]Sheet1!B4</f>
        <v>1</v>
      </c>
      <c r="J4" s="27">
        <f>[2]Sheet1!C4</f>
        <v>1</v>
      </c>
      <c r="K4" s="27">
        <f>[2]Sheet1!D4</f>
        <v>1</v>
      </c>
      <c r="L4" s="27">
        <f>[2]Sheet1!E4</f>
        <v>1</v>
      </c>
      <c r="M4" s="27">
        <f>[2]Sheet1!F4</f>
        <v>1</v>
      </c>
      <c r="N4" s="27">
        <f>[2]Sheet1!G4</f>
        <v>1</v>
      </c>
    </row>
    <row r="5" spans="2:14" x14ac:dyDescent="0.55000000000000004">
      <c r="B5" t="str">
        <f>kelyfos!Y6</f>
        <v>A5</v>
      </c>
      <c r="C5">
        <f>kelyfos!AA6</f>
        <v>45</v>
      </c>
      <c r="D5">
        <f>kelyfos!AB6</f>
        <v>90</v>
      </c>
      <c r="E5" s="27">
        <f>kelyfos!AE6</f>
        <v>1</v>
      </c>
      <c r="F5" s="27"/>
      <c r="G5" s="33"/>
      <c r="H5" s="33">
        <v>0.48</v>
      </c>
      <c r="I5" s="27">
        <f>[2]Sheet1!B5</f>
        <v>1</v>
      </c>
      <c r="J5" s="27">
        <f>[2]Sheet1!C5</f>
        <v>1</v>
      </c>
      <c r="K5" s="27">
        <f>[2]Sheet1!D5</f>
        <v>1</v>
      </c>
      <c r="L5" s="27">
        <f>[2]Sheet1!E5</f>
        <v>1</v>
      </c>
      <c r="M5" s="27">
        <f>[2]Sheet1!F5</f>
        <v>1</v>
      </c>
      <c r="N5" s="27">
        <f>[2]Sheet1!G5</f>
        <v>1</v>
      </c>
    </row>
    <row r="6" spans="2:14" x14ac:dyDescent="0.55000000000000004">
      <c r="B6" t="str">
        <f>kelyfos!Y7</f>
        <v>A6</v>
      </c>
      <c r="C6">
        <f>kelyfos!AA7</f>
        <v>49</v>
      </c>
      <c r="D6">
        <f>kelyfos!AB7</f>
        <v>90</v>
      </c>
      <c r="E6" s="27">
        <f>kelyfos!AE7</f>
        <v>4</v>
      </c>
      <c r="F6" s="27"/>
      <c r="G6" s="33"/>
      <c r="H6" s="33">
        <v>0.48</v>
      </c>
      <c r="I6" s="27">
        <f>[2]Sheet1!B6</f>
        <v>1</v>
      </c>
      <c r="J6" s="27">
        <f>[2]Sheet1!C6</f>
        <v>1</v>
      </c>
      <c r="K6" s="27">
        <f>[2]Sheet1!D6</f>
        <v>1</v>
      </c>
      <c r="L6" s="27">
        <f>[2]Sheet1!E6</f>
        <v>1</v>
      </c>
      <c r="M6" s="27">
        <f>[2]Sheet1!F6</f>
        <v>1</v>
      </c>
      <c r="N6" s="27">
        <f>[2]Sheet1!G6</f>
        <v>1</v>
      </c>
    </row>
    <row r="7" spans="2:14" x14ac:dyDescent="0.55000000000000004">
      <c r="B7" t="str">
        <f>kelyfos!Y8</f>
        <v>A7</v>
      </c>
      <c r="C7">
        <f>kelyfos!AA8</f>
        <v>49</v>
      </c>
      <c r="D7">
        <f>kelyfos!AB8</f>
        <v>90</v>
      </c>
      <c r="E7" s="27">
        <f>kelyfos!AE8</f>
        <v>1</v>
      </c>
      <c r="G7" s="33"/>
      <c r="H7" s="33">
        <v>0.48</v>
      </c>
      <c r="I7" s="27">
        <f>[2]Sheet1!B7</f>
        <v>1</v>
      </c>
      <c r="J7" s="27">
        <f>[2]Sheet1!C7</f>
        <v>1</v>
      </c>
      <c r="K7" s="27">
        <f>[2]Sheet1!D7</f>
        <v>1</v>
      </c>
      <c r="L7" s="27">
        <f>[2]Sheet1!E7</f>
        <v>1</v>
      </c>
      <c r="M7" s="27">
        <f>[2]Sheet1!F7</f>
        <v>1</v>
      </c>
      <c r="N7" s="27">
        <f>[2]Sheet1!G7</f>
        <v>1</v>
      </c>
    </row>
    <row r="8" spans="2:14" x14ac:dyDescent="0.55000000000000004">
      <c r="B8" t="str">
        <f>kelyfos!Y9</f>
        <v>A8</v>
      </c>
      <c r="C8">
        <f>kelyfos!AA9</f>
        <v>57.3</v>
      </c>
      <c r="D8">
        <f>kelyfos!AB9</f>
        <v>90</v>
      </c>
      <c r="E8" s="27">
        <f>kelyfos!AE9</f>
        <v>0.25</v>
      </c>
      <c r="G8" s="33"/>
      <c r="H8" s="33">
        <v>0.48</v>
      </c>
      <c r="I8" s="27">
        <f>[2]Sheet1!B8</f>
        <v>1</v>
      </c>
      <c r="J8" s="27">
        <f>[2]Sheet1!C8</f>
        <v>1</v>
      </c>
      <c r="K8" s="27">
        <f>[2]Sheet1!D8</f>
        <v>1</v>
      </c>
      <c r="L8" s="27">
        <f>[2]Sheet1!E8</f>
        <v>1</v>
      </c>
      <c r="M8" s="27">
        <f>[2]Sheet1!F8</f>
        <v>1</v>
      </c>
      <c r="N8" s="27">
        <f>[2]Sheet1!G8</f>
        <v>1</v>
      </c>
    </row>
    <row r="9" spans="2:14" x14ac:dyDescent="0.55000000000000004">
      <c r="B9" t="str">
        <f>kelyfos!Y10</f>
        <v>A9</v>
      </c>
      <c r="C9">
        <f>kelyfos!AA10</f>
        <v>23</v>
      </c>
      <c r="D9">
        <f>kelyfos!AB10</f>
        <v>90</v>
      </c>
      <c r="E9" s="27">
        <f>kelyfos!AE10</f>
        <v>0.36</v>
      </c>
      <c r="G9" s="33"/>
      <c r="H9" s="33">
        <v>0.48</v>
      </c>
      <c r="I9" s="27">
        <f>[2]Sheet1!B9</f>
        <v>1</v>
      </c>
      <c r="J9" s="27">
        <f>[2]Sheet1!C9</f>
        <v>1</v>
      </c>
      <c r="K9" s="27">
        <f>[2]Sheet1!D9</f>
        <v>1</v>
      </c>
      <c r="L9" s="27">
        <f>[2]Sheet1!E9</f>
        <v>1</v>
      </c>
      <c r="M9" s="27">
        <f>[2]Sheet1!F9</f>
        <v>1</v>
      </c>
      <c r="N9" s="27">
        <f>[2]Sheet1!G9</f>
        <v>1</v>
      </c>
    </row>
    <row r="10" spans="2:14" x14ac:dyDescent="0.55000000000000004">
      <c r="B10" t="str">
        <f>kelyfos!Y11</f>
        <v>A10</v>
      </c>
      <c r="C10">
        <f>kelyfos!AA11</f>
        <v>23</v>
      </c>
      <c r="D10">
        <f>kelyfos!AB11</f>
        <v>90</v>
      </c>
      <c r="E10" s="27">
        <f>kelyfos!AE11</f>
        <v>0.56000000000000005</v>
      </c>
      <c r="G10" s="33"/>
      <c r="H10" s="33">
        <v>0.48</v>
      </c>
      <c r="I10" s="27">
        <f>[2]Sheet1!B10</f>
        <v>1</v>
      </c>
      <c r="J10" s="27">
        <f>[2]Sheet1!C10</f>
        <v>1</v>
      </c>
      <c r="K10" s="27">
        <f>[2]Sheet1!D10</f>
        <v>1</v>
      </c>
      <c r="L10" s="27">
        <f>[2]Sheet1!E10</f>
        <v>1</v>
      </c>
      <c r="M10" s="27">
        <f>[2]Sheet1!F10</f>
        <v>1</v>
      </c>
      <c r="N10" s="27">
        <f>[2]Sheet1!G10</f>
        <v>1</v>
      </c>
    </row>
    <row r="11" spans="2:14" x14ac:dyDescent="0.55000000000000004">
      <c r="B11" t="str">
        <f>kelyfos!Y12</f>
        <v>A11</v>
      </c>
      <c r="C11">
        <f>kelyfos!AA12</f>
        <v>49</v>
      </c>
      <c r="D11">
        <f>kelyfos!AB12</f>
        <v>90</v>
      </c>
      <c r="E11" s="27">
        <f>kelyfos!AE12</f>
        <v>0.8</v>
      </c>
      <c r="G11" s="33"/>
      <c r="H11" s="33">
        <v>0.48</v>
      </c>
      <c r="I11" s="27">
        <f>[2]Sheet1!B11</f>
        <v>1</v>
      </c>
      <c r="J11" s="27">
        <f>[2]Sheet1!C11</f>
        <v>1</v>
      </c>
      <c r="K11" s="27">
        <f>[2]Sheet1!D11</f>
        <v>1</v>
      </c>
      <c r="L11" s="27">
        <f>[2]Sheet1!E11</f>
        <v>1</v>
      </c>
      <c r="M11" s="27">
        <f>[2]Sheet1!F11</f>
        <v>1</v>
      </c>
      <c r="N11" s="27">
        <f>[2]Sheet1!G11</f>
        <v>1</v>
      </c>
    </row>
    <row r="12" spans="2:14" x14ac:dyDescent="0.55000000000000004">
      <c r="B12" t="str">
        <f>kelyfos!Y13</f>
        <v>A12</v>
      </c>
      <c r="C12">
        <f>kelyfos!AA13</f>
        <v>90</v>
      </c>
      <c r="D12">
        <f>kelyfos!AB13</f>
        <v>90</v>
      </c>
      <c r="E12" s="27">
        <f>kelyfos!AE13</f>
        <v>9</v>
      </c>
      <c r="G12" s="33"/>
      <c r="H12" s="33">
        <v>0.48</v>
      </c>
      <c r="I12" s="27">
        <f>[2]Sheet1!B12</f>
        <v>1</v>
      </c>
      <c r="J12" s="27">
        <f>[2]Sheet1!C12</f>
        <v>1</v>
      </c>
      <c r="K12" s="27">
        <f>[2]Sheet1!D12</f>
        <v>1</v>
      </c>
      <c r="L12" s="27">
        <f>[2]Sheet1!E12</f>
        <v>1</v>
      </c>
      <c r="M12" s="27">
        <f>[2]Sheet1!F12</f>
        <v>1</v>
      </c>
      <c r="N12" s="27">
        <f>[2]Sheet1!G12</f>
        <v>1</v>
      </c>
    </row>
    <row r="13" spans="2:14" x14ac:dyDescent="0.55000000000000004">
      <c r="E13" s="27"/>
      <c r="G13" s="33"/>
      <c r="H13" s="33"/>
      <c r="I13" s="27"/>
      <c r="J13" s="27"/>
      <c r="K13" s="27"/>
      <c r="L13" s="27"/>
      <c r="M13" s="27"/>
      <c r="N13" s="27"/>
    </row>
  </sheetData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T105"/>
  <sheetViews>
    <sheetView topLeftCell="I1" zoomScale="99" zoomScaleNormal="85" workbookViewId="0">
      <selection activeCell="V2" sqref="V2:V9"/>
    </sheetView>
  </sheetViews>
  <sheetFormatPr defaultRowHeight="12.3" x14ac:dyDescent="0.4"/>
  <cols>
    <col min="1" max="1" width="10.15625" style="1" bestFit="1" customWidth="1"/>
    <col min="2" max="2" width="15.15625" style="1" customWidth="1"/>
    <col min="3" max="5" width="8.83984375" style="1"/>
    <col min="6" max="6" width="9.578125" style="1" bestFit="1" customWidth="1"/>
    <col min="7" max="7" width="8.83984375" style="1"/>
    <col min="8" max="8" width="0" style="1" hidden="1" customWidth="1"/>
    <col min="9" max="9" width="8.83984375" style="1"/>
    <col min="10" max="10" width="3.83984375" style="1" customWidth="1"/>
    <col min="11" max="11" width="11.83984375" style="1" customWidth="1"/>
    <col min="12" max="12" width="8.83984375" style="1"/>
    <col min="13" max="13" width="8.68359375" style="1" customWidth="1"/>
    <col min="14" max="16" width="8.83984375" style="1"/>
    <col min="17" max="17" width="13.15625" style="1" bestFit="1" customWidth="1"/>
    <col min="18" max="18" width="19.7890625" style="1" bestFit="1" customWidth="1"/>
    <col min="19" max="19" width="12.89453125" style="1" bestFit="1" customWidth="1"/>
    <col min="20" max="20" width="15.62890625" style="1" bestFit="1" customWidth="1"/>
    <col min="21" max="21" width="13" style="1" customWidth="1"/>
    <col min="22" max="22" width="10.15625" style="1" bestFit="1" customWidth="1"/>
    <col min="23" max="25" width="8.83984375" style="1"/>
    <col min="26" max="26" width="13" style="1" customWidth="1"/>
    <col min="27" max="27" width="12" style="1" bestFit="1" customWidth="1"/>
    <col min="28" max="28" width="14.68359375" style="1" bestFit="1" customWidth="1"/>
    <col min="29" max="29" width="9.26171875" style="1" customWidth="1"/>
    <col min="30" max="30" width="11.15625" style="1" customWidth="1"/>
    <col min="31" max="31" width="12.26171875" style="1" bestFit="1" customWidth="1"/>
    <col min="32" max="32" width="10" style="1" customWidth="1"/>
    <col min="33" max="33" width="14.83984375" style="1" bestFit="1" customWidth="1"/>
    <col min="34" max="34" width="10" style="1" customWidth="1"/>
    <col min="35" max="35" width="10.15625" style="1" bestFit="1" customWidth="1"/>
    <col min="36" max="36" width="12.26171875" style="1" bestFit="1" customWidth="1"/>
    <col min="37" max="37" width="12.05078125" style="1" bestFit="1" customWidth="1"/>
    <col min="38" max="38" width="14.68359375" style="1" bestFit="1" customWidth="1"/>
    <col min="39" max="39" width="4.68359375" style="1" bestFit="1" customWidth="1"/>
    <col min="40" max="40" width="3.68359375" style="1" bestFit="1" customWidth="1"/>
    <col min="41" max="41" width="2.68359375" style="1" bestFit="1" customWidth="1"/>
    <col min="42" max="42" width="4.68359375" style="1" bestFit="1" customWidth="1"/>
    <col min="43" max="43" width="3.68359375" style="1" bestFit="1" customWidth="1"/>
    <col min="44" max="44" width="10.20703125" style="1" bestFit="1" customWidth="1"/>
    <col min="45" max="45" width="18" style="1" bestFit="1" customWidth="1"/>
    <col min="46" max="46" width="10.15625" style="1" bestFit="1" customWidth="1"/>
    <col min="47" max="248" width="8.83984375" style="1"/>
    <col min="249" max="249" width="2.83984375" style="1" customWidth="1"/>
    <col min="250" max="250" width="15.26171875" style="1" customWidth="1"/>
    <col min="251" max="252" width="8.41796875" style="1" customWidth="1"/>
    <col min="253" max="253" width="8.83984375" style="1"/>
    <col min="254" max="254" width="9.41796875" style="1" bestFit="1" customWidth="1"/>
    <col min="255" max="255" width="8.83984375" style="1"/>
    <col min="256" max="256" width="9.83984375" style="1" customWidth="1"/>
    <col min="257" max="257" width="8.83984375" style="1"/>
    <col min="258" max="258" width="5.15625" style="1" customWidth="1"/>
    <col min="259" max="259" width="5.26171875" style="1" customWidth="1"/>
    <col min="260" max="260" width="15.15625" style="1" customWidth="1"/>
    <col min="261" max="263" width="8.83984375" style="1"/>
    <col min="264" max="264" width="0" style="1" hidden="1" customWidth="1"/>
    <col min="265" max="265" width="8.83984375" style="1"/>
    <col min="266" max="266" width="0" style="1" hidden="1" customWidth="1"/>
    <col min="267" max="268" width="8.83984375" style="1"/>
    <col min="269" max="269" width="15.578125" style="1" bestFit="1" customWidth="1"/>
    <col min="270" max="504" width="8.83984375" style="1"/>
    <col min="505" max="505" width="2.83984375" style="1" customWidth="1"/>
    <col min="506" max="506" width="15.26171875" style="1" customWidth="1"/>
    <col min="507" max="508" width="8.41796875" style="1" customWidth="1"/>
    <col min="509" max="509" width="8.83984375" style="1"/>
    <col min="510" max="510" width="9.41796875" style="1" bestFit="1" customWidth="1"/>
    <col min="511" max="511" width="8.83984375" style="1"/>
    <col min="512" max="512" width="9.83984375" style="1" customWidth="1"/>
    <col min="513" max="513" width="8.83984375" style="1"/>
    <col min="514" max="514" width="5.15625" style="1" customWidth="1"/>
    <col min="515" max="515" width="5.26171875" style="1" customWidth="1"/>
    <col min="516" max="516" width="15.15625" style="1" customWidth="1"/>
    <col min="517" max="519" width="8.83984375" style="1"/>
    <col min="520" max="520" width="0" style="1" hidden="1" customWidth="1"/>
    <col min="521" max="521" width="8.83984375" style="1"/>
    <col min="522" max="522" width="0" style="1" hidden="1" customWidth="1"/>
    <col min="523" max="524" width="8.83984375" style="1"/>
    <col min="525" max="525" width="15.578125" style="1" bestFit="1" customWidth="1"/>
    <col min="526" max="760" width="8.83984375" style="1"/>
    <col min="761" max="761" width="2.83984375" style="1" customWidth="1"/>
    <col min="762" max="762" width="15.26171875" style="1" customWidth="1"/>
    <col min="763" max="764" width="8.41796875" style="1" customWidth="1"/>
    <col min="765" max="765" width="8.83984375" style="1"/>
    <col min="766" max="766" width="9.41796875" style="1" bestFit="1" customWidth="1"/>
    <col min="767" max="767" width="8.83984375" style="1"/>
    <col min="768" max="768" width="9.83984375" style="1" customWidth="1"/>
    <col min="769" max="769" width="8.83984375" style="1"/>
    <col min="770" max="770" width="5.15625" style="1" customWidth="1"/>
    <col min="771" max="771" width="5.26171875" style="1" customWidth="1"/>
    <col min="772" max="772" width="15.15625" style="1" customWidth="1"/>
    <col min="773" max="775" width="8.83984375" style="1"/>
    <col min="776" max="776" width="0" style="1" hidden="1" customWidth="1"/>
    <col min="777" max="777" width="8.83984375" style="1"/>
    <col min="778" max="778" width="0" style="1" hidden="1" customWidth="1"/>
    <col min="779" max="780" width="8.83984375" style="1"/>
    <col min="781" max="781" width="15.578125" style="1" bestFit="1" customWidth="1"/>
    <col min="782" max="1016" width="8.83984375" style="1"/>
    <col min="1017" max="1017" width="2.83984375" style="1" customWidth="1"/>
    <col min="1018" max="1018" width="15.26171875" style="1" customWidth="1"/>
    <col min="1019" max="1020" width="8.41796875" style="1" customWidth="1"/>
    <col min="1021" max="1021" width="8.83984375" style="1"/>
    <col min="1022" max="1022" width="9.41796875" style="1" bestFit="1" customWidth="1"/>
    <col min="1023" max="1023" width="8.83984375" style="1"/>
    <col min="1024" max="1024" width="9.83984375" style="1" customWidth="1"/>
    <col min="1025" max="1025" width="8.83984375" style="1"/>
    <col min="1026" max="1026" width="5.15625" style="1" customWidth="1"/>
    <col min="1027" max="1027" width="5.26171875" style="1" customWidth="1"/>
    <col min="1028" max="1028" width="15.15625" style="1" customWidth="1"/>
    <col min="1029" max="1031" width="8.83984375" style="1"/>
    <col min="1032" max="1032" width="0" style="1" hidden="1" customWidth="1"/>
    <col min="1033" max="1033" width="8.83984375" style="1"/>
    <col min="1034" max="1034" width="0" style="1" hidden="1" customWidth="1"/>
    <col min="1035" max="1036" width="8.83984375" style="1"/>
    <col min="1037" max="1037" width="15.578125" style="1" bestFit="1" customWidth="1"/>
    <col min="1038" max="1272" width="8.83984375" style="1"/>
    <col min="1273" max="1273" width="2.83984375" style="1" customWidth="1"/>
    <col min="1274" max="1274" width="15.26171875" style="1" customWidth="1"/>
    <col min="1275" max="1276" width="8.41796875" style="1" customWidth="1"/>
    <col min="1277" max="1277" width="8.83984375" style="1"/>
    <col min="1278" max="1278" width="9.41796875" style="1" bestFit="1" customWidth="1"/>
    <col min="1279" max="1279" width="8.83984375" style="1"/>
    <col min="1280" max="1280" width="9.83984375" style="1" customWidth="1"/>
    <col min="1281" max="1281" width="8.83984375" style="1"/>
    <col min="1282" max="1282" width="5.15625" style="1" customWidth="1"/>
    <col min="1283" max="1283" width="5.26171875" style="1" customWidth="1"/>
    <col min="1284" max="1284" width="15.15625" style="1" customWidth="1"/>
    <col min="1285" max="1287" width="8.83984375" style="1"/>
    <col min="1288" max="1288" width="0" style="1" hidden="1" customWidth="1"/>
    <col min="1289" max="1289" width="8.83984375" style="1"/>
    <col min="1290" max="1290" width="0" style="1" hidden="1" customWidth="1"/>
    <col min="1291" max="1292" width="8.83984375" style="1"/>
    <col min="1293" max="1293" width="15.578125" style="1" bestFit="1" customWidth="1"/>
    <col min="1294" max="1528" width="8.83984375" style="1"/>
    <col min="1529" max="1529" width="2.83984375" style="1" customWidth="1"/>
    <col min="1530" max="1530" width="15.26171875" style="1" customWidth="1"/>
    <col min="1531" max="1532" width="8.41796875" style="1" customWidth="1"/>
    <col min="1533" max="1533" width="8.83984375" style="1"/>
    <col min="1534" max="1534" width="9.41796875" style="1" bestFit="1" customWidth="1"/>
    <col min="1535" max="1535" width="8.83984375" style="1"/>
    <col min="1536" max="1536" width="9.83984375" style="1" customWidth="1"/>
    <col min="1537" max="1537" width="8.83984375" style="1"/>
    <col min="1538" max="1538" width="5.15625" style="1" customWidth="1"/>
    <col min="1539" max="1539" width="5.26171875" style="1" customWidth="1"/>
    <col min="1540" max="1540" width="15.15625" style="1" customWidth="1"/>
    <col min="1541" max="1543" width="8.83984375" style="1"/>
    <col min="1544" max="1544" width="0" style="1" hidden="1" customWidth="1"/>
    <col min="1545" max="1545" width="8.83984375" style="1"/>
    <col min="1546" max="1546" width="0" style="1" hidden="1" customWidth="1"/>
    <col min="1547" max="1548" width="8.83984375" style="1"/>
    <col min="1549" max="1549" width="15.578125" style="1" bestFit="1" customWidth="1"/>
    <col min="1550" max="1784" width="8.83984375" style="1"/>
    <col min="1785" max="1785" width="2.83984375" style="1" customWidth="1"/>
    <col min="1786" max="1786" width="15.26171875" style="1" customWidth="1"/>
    <col min="1787" max="1788" width="8.41796875" style="1" customWidth="1"/>
    <col min="1789" max="1789" width="8.83984375" style="1"/>
    <col min="1790" max="1790" width="9.41796875" style="1" bestFit="1" customWidth="1"/>
    <col min="1791" max="1791" width="8.83984375" style="1"/>
    <col min="1792" max="1792" width="9.83984375" style="1" customWidth="1"/>
    <col min="1793" max="1793" width="8.83984375" style="1"/>
    <col min="1794" max="1794" width="5.15625" style="1" customWidth="1"/>
    <col min="1795" max="1795" width="5.26171875" style="1" customWidth="1"/>
    <col min="1796" max="1796" width="15.15625" style="1" customWidth="1"/>
    <col min="1797" max="1799" width="8.83984375" style="1"/>
    <col min="1800" max="1800" width="0" style="1" hidden="1" customWidth="1"/>
    <col min="1801" max="1801" width="8.83984375" style="1"/>
    <col min="1802" max="1802" width="0" style="1" hidden="1" customWidth="1"/>
    <col min="1803" max="1804" width="8.83984375" style="1"/>
    <col min="1805" max="1805" width="15.578125" style="1" bestFit="1" customWidth="1"/>
    <col min="1806" max="2040" width="8.83984375" style="1"/>
    <col min="2041" max="2041" width="2.83984375" style="1" customWidth="1"/>
    <col min="2042" max="2042" width="15.26171875" style="1" customWidth="1"/>
    <col min="2043" max="2044" width="8.41796875" style="1" customWidth="1"/>
    <col min="2045" max="2045" width="8.83984375" style="1"/>
    <col min="2046" max="2046" width="9.41796875" style="1" bestFit="1" customWidth="1"/>
    <col min="2047" max="2047" width="8.83984375" style="1"/>
    <col min="2048" max="2048" width="9.83984375" style="1" customWidth="1"/>
    <col min="2049" max="2049" width="8.83984375" style="1"/>
    <col min="2050" max="2050" width="5.15625" style="1" customWidth="1"/>
    <col min="2051" max="2051" width="5.26171875" style="1" customWidth="1"/>
    <col min="2052" max="2052" width="15.15625" style="1" customWidth="1"/>
    <col min="2053" max="2055" width="8.83984375" style="1"/>
    <col min="2056" max="2056" width="0" style="1" hidden="1" customWidth="1"/>
    <col min="2057" max="2057" width="8.83984375" style="1"/>
    <col min="2058" max="2058" width="0" style="1" hidden="1" customWidth="1"/>
    <col min="2059" max="2060" width="8.83984375" style="1"/>
    <col min="2061" max="2061" width="15.578125" style="1" bestFit="1" customWidth="1"/>
    <col min="2062" max="2296" width="8.83984375" style="1"/>
    <col min="2297" max="2297" width="2.83984375" style="1" customWidth="1"/>
    <col min="2298" max="2298" width="15.26171875" style="1" customWidth="1"/>
    <col min="2299" max="2300" width="8.41796875" style="1" customWidth="1"/>
    <col min="2301" max="2301" width="8.83984375" style="1"/>
    <col min="2302" max="2302" width="9.41796875" style="1" bestFit="1" customWidth="1"/>
    <col min="2303" max="2303" width="8.83984375" style="1"/>
    <col min="2304" max="2304" width="9.83984375" style="1" customWidth="1"/>
    <col min="2305" max="2305" width="8.83984375" style="1"/>
    <col min="2306" max="2306" width="5.15625" style="1" customWidth="1"/>
    <col min="2307" max="2307" width="5.26171875" style="1" customWidth="1"/>
    <col min="2308" max="2308" width="15.15625" style="1" customWidth="1"/>
    <col min="2309" max="2311" width="8.83984375" style="1"/>
    <col min="2312" max="2312" width="0" style="1" hidden="1" customWidth="1"/>
    <col min="2313" max="2313" width="8.83984375" style="1"/>
    <col min="2314" max="2314" width="0" style="1" hidden="1" customWidth="1"/>
    <col min="2315" max="2316" width="8.83984375" style="1"/>
    <col min="2317" max="2317" width="15.578125" style="1" bestFit="1" customWidth="1"/>
    <col min="2318" max="2552" width="8.83984375" style="1"/>
    <col min="2553" max="2553" width="2.83984375" style="1" customWidth="1"/>
    <col min="2554" max="2554" width="15.26171875" style="1" customWidth="1"/>
    <col min="2555" max="2556" width="8.41796875" style="1" customWidth="1"/>
    <col min="2557" max="2557" width="8.83984375" style="1"/>
    <col min="2558" max="2558" width="9.41796875" style="1" bestFit="1" customWidth="1"/>
    <col min="2559" max="2559" width="8.83984375" style="1"/>
    <col min="2560" max="2560" width="9.83984375" style="1" customWidth="1"/>
    <col min="2561" max="2561" width="8.83984375" style="1"/>
    <col min="2562" max="2562" width="5.15625" style="1" customWidth="1"/>
    <col min="2563" max="2563" width="5.26171875" style="1" customWidth="1"/>
    <col min="2564" max="2564" width="15.15625" style="1" customWidth="1"/>
    <col min="2565" max="2567" width="8.83984375" style="1"/>
    <col min="2568" max="2568" width="0" style="1" hidden="1" customWidth="1"/>
    <col min="2569" max="2569" width="8.83984375" style="1"/>
    <col min="2570" max="2570" width="0" style="1" hidden="1" customWidth="1"/>
    <col min="2571" max="2572" width="8.83984375" style="1"/>
    <col min="2573" max="2573" width="15.578125" style="1" bestFit="1" customWidth="1"/>
    <col min="2574" max="2808" width="8.83984375" style="1"/>
    <col min="2809" max="2809" width="2.83984375" style="1" customWidth="1"/>
    <col min="2810" max="2810" width="15.26171875" style="1" customWidth="1"/>
    <col min="2811" max="2812" width="8.41796875" style="1" customWidth="1"/>
    <col min="2813" max="2813" width="8.83984375" style="1"/>
    <col min="2814" max="2814" width="9.41796875" style="1" bestFit="1" customWidth="1"/>
    <col min="2815" max="2815" width="8.83984375" style="1"/>
    <col min="2816" max="2816" width="9.83984375" style="1" customWidth="1"/>
    <col min="2817" max="2817" width="8.83984375" style="1"/>
    <col min="2818" max="2818" width="5.15625" style="1" customWidth="1"/>
    <col min="2819" max="2819" width="5.26171875" style="1" customWidth="1"/>
    <col min="2820" max="2820" width="15.15625" style="1" customWidth="1"/>
    <col min="2821" max="2823" width="8.83984375" style="1"/>
    <col min="2824" max="2824" width="0" style="1" hidden="1" customWidth="1"/>
    <col min="2825" max="2825" width="8.83984375" style="1"/>
    <col min="2826" max="2826" width="0" style="1" hidden="1" customWidth="1"/>
    <col min="2827" max="2828" width="8.83984375" style="1"/>
    <col min="2829" max="2829" width="15.578125" style="1" bestFit="1" customWidth="1"/>
    <col min="2830" max="3064" width="8.83984375" style="1"/>
    <col min="3065" max="3065" width="2.83984375" style="1" customWidth="1"/>
    <col min="3066" max="3066" width="15.26171875" style="1" customWidth="1"/>
    <col min="3067" max="3068" width="8.41796875" style="1" customWidth="1"/>
    <col min="3069" max="3069" width="8.83984375" style="1"/>
    <col min="3070" max="3070" width="9.41796875" style="1" bestFit="1" customWidth="1"/>
    <col min="3071" max="3071" width="8.83984375" style="1"/>
    <col min="3072" max="3072" width="9.83984375" style="1" customWidth="1"/>
    <col min="3073" max="3073" width="8.83984375" style="1"/>
    <col min="3074" max="3074" width="5.15625" style="1" customWidth="1"/>
    <col min="3075" max="3075" width="5.26171875" style="1" customWidth="1"/>
    <col min="3076" max="3076" width="15.15625" style="1" customWidth="1"/>
    <col min="3077" max="3079" width="8.83984375" style="1"/>
    <col min="3080" max="3080" width="0" style="1" hidden="1" customWidth="1"/>
    <col min="3081" max="3081" width="8.83984375" style="1"/>
    <col min="3082" max="3082" width="0" style="1" hidden="1" customWidth="1"/>
    <col min="3083" max="3084" width="8.83984375" style="1"/>
    <col min="3085" max="3085" width="15.578125" style="1" bestFit="1" customWidth="1"/>
    <col min="3086" max="3320" width="8.83984375" style="1"/>
    <col min="3321" max="3321" width="2.83984375" style="1" customWidth="1"/>
    <col min="3322" max="3322" width="15.26171875" style="1" customWidth="1"/>
    <col min="3323" max="3324" width="8.41796875" style="1" customWidth="1"/>
    <col min="3325" max="3325" width="8.83984375" style="1"/>
    <col min="3326" max="3326" width="9.41796875" style="1" bestFit="1" customWidth="1"/>
    <col min="3327" max="3327" width="8.83984375" style="1"/>
    <col min="3328" max="3328" width="9.83984375" style="1" customWidth="1"/>
    <col min="3329" max="3329" width="8.83984375" style="1"/>
    <col min="3330" max="3330" width="5.15625" style="1" customWidth="1"/>
    <col min="3331" max="3331" width="5.26171875" style="1" customWidth="1"/>
    <col min="3332" max="3332" width="15.15625" style="1" customWidth="1"/>
    <col min="3333" max="3335" width="8.83984375" style="1"/>
    <col min="3336" max="3336" width="0" style="1" hidden="1" customWidth="1"/>
    <col min="3337" max="3337" width="8.83984375" style="1"/>
    <col min="3338" max="3338" width="0" style="1" hidden="1" customWidth="1"/>
    <col min="3339" max="3340" width="8.83984375" style="1"/>
    <col min="3341" max="3341" width="15.578125" style="1" bestFit="1" customWidth="1"/>
    <col min="3342" max="3576" width="8.83984375" style="1"/>
    <col min="3577" max="3577" width="2.83984375" style="1" customWidth="1"/>
    <col min="3578" max="3578" width="15.26171875" style="1" customWidth="1"/>
    <col min="3579" max="3580" width="8.41796875" style="1" customWidth="1"/>
    <col min="3581" max="3581" width="8.83984375" style="1"/>
    <col min="3582" max="3582" width="9.41796875" style="1" bestFit="1" customWidth="1"/>
    <col min="3583" max="3583" width="8.83984375" style="1"/>
    <col min="3584" max="3584" width="9.83984375" style="1" customWidth="1"/>
    <col min="3585" max="3585" width="8.83984375" style="1"/>
    <col min="3586" max="3586" width="5.15625" style="1" customWidth="1"/>
    <col min="3587" max="3587" width="5.26171875" style="1" customWidth="1"/>
    <col min="3588" max="3588" width="15.15625" style="1" customWidth="1"/>
    <col min="3589" max="3591" width="8.83984375" style="1"/>
    <col min="3592" max="3592" width="0" style="1" hidden="1" customWidth="1"/>
    <col min="3593" max="3593" width="8.83984375" style="1"/>
    <col min="3594" max="3594" width="0" style="1" hidden="1" customWidth="1"/>
    <col min="3595" max="3596" width="8.83984375" style="1"/>
    <col min="3597" max="3597" width="15.578125" style="1" bestFit="1" customWidth="1"/>
    <col min="3598" max="3832" width="8.83984375" style="1"/>
    <col min="3833" max="3833" width="2.83984375" style="1" customWidth="1"/>
    <col min="3834" max="3834" width="15.26171875" style="1" customWidth="1"/>
    <col min="3835" max="3836" width="8.41796875" style="1" customWidth="1"/>
    <col min="3837" max="3837" width="8.83984375" style="1"/>
    <col min="3838" max="3838" width="9.41796875" style="1" bestFit="1" customWidth="1"/>
    <col min="3839" max="3839" width="8.83984375" style="1"/>
    <col min="3840" max="3840" width="9.83984375" style="1" customWidth="1"/>
    <col min="3841" max="3841" width="8.83984375" style="1"/>
    <col min="3842" max="3842" width="5.15625" style="1" customWidth="1"/>
    <col min="3843" max="3843" width="5.26171875" style="1" customWidth="1"/>
    <col min="3844" max="3844" width="15.15625" style="1" customWidth="1"/>
    <col min="3845" max="3847" width="8.83984375" style="1"/>
    <col min="3848" max="3848" width="0" style="1" hidden="1" customWidth="1"/>
    <col min="3849" max="3849" width="8.83984375" style="1"/>
    <col min="3850" max="3850" width="0" style="1" hidden="1" customWidth="1"/>
    <col min="3851" max="3852" width="8.83984375" style="1"/>
    <col min="3853" max="3853" width="15.578125" style="1" bestFit="1" customWidth="1"/>
    <col min="3854" max="4088" width="8.83984375" style="1"/>
    <col min="4089" max="4089" width="2.83984375" style="1" customWidth="1"/>
    <col min="4090" max="4090" width="15.26171875" style="1" customWidth="1"/>
    <col min="4091" max="4092" width="8.41796875" style="1" customWidth="1"/>
    <col min="4093" max="4093" width="8.83984375" style="1"/>
    <col min="4094" max="4094" width="9.41796875" style="1" bestFit="1" customWidth="1"/>
    <col min="4095" max="4095" width="8.83984375" style="1"/>
    <col min="4096" max="4096" width="9.83984375" style="1" customWidth="1"/>
    <col min="4097" max="4097" width="8.83984375" style="1"/>
    <col min="4098" max="4098" width="5.15625" style="1" customWidth="1"/>
    <col min="4099" max="4099" width="5.26171875" style="1" customWidth="1"/>
    <col min="4100" max="4100" width="15.15625" style="1" customWidth="1"/>
    <col min="4101" max="4103" width="8.83984375" style="1"/>
    <col min="4104" max="4104" width="0" style="1" hidden="1" customWidth="1"/>
    <col min="4105" max="4105" width="8.83984375" style="1"/>
    <col min="4106" max="4106" width="0" style="1" hidden="1" customWidth="1"/>
    <col min="4107" max="4108" width="8.83984375" style="1"/>
    <col min="4109" max="4109" width="15.578125" style="1" bestFit="1" customWidth="1"/>
    <col min="4110" max="4344" width="8.83984375" style="1"/>
    <col min="4345" max="4345" width="2.83984375" style="1" customWidth="1"/>
    <col min="4346" max="4346" width="15.26171875" style="1" customWidth="1"/>
    <col min="4347" max="4348" width="8.41796875" style="1" customWidth="1"/>
    <col min="4349" max="4349" width="8.83984375" style="1"/>
    <col min="4350" max="4350" width="9.41796875" style="1" bestFit="1" customWidth="1"/>
    <col min="4351" max="4351" width="8.83984375" style="1"/>
    <col min="4352" max="4352" width="9.83984375" style="1" customWidth="1"/>
    <col min="4353" max="4353" width="8.83984375" style="1"/>
    <col min="4354" max="4354" width="5.15625" style="1" customWidth="1"/>
    <col min="4355" max="4355" width="5.26171875" style="1" customWidth="1"/>
    <col min="4356" max="4356" width="15.15625" style="1" customWidth="1"/>
    <col min="4357" max="4359" width="8.83984375" style="1"/>
    <col min="4360" max="4360" width="0" style="1" hidden="1" customWidth="1"/>
    <col min="4361" max="4361" width="8.83984375" style="1"/>
    <col min="4362" max="4362" width="0" style="1" hidden="1" customWidth="1"/>
    <col min="4363" max="4364" width="8.83984375" style="1"/>
    <col min="4365" max="4365" width="15.578125" style="1" bestFit="1" customWidth="1"/>
    <col min="4366" max="4600" width="8.83984375" style="1"/>
    <col min="4601" max="4601" width="2.83984375" style="1" customWidth="1"/>
    <col min="4602" max="4602" width="15.26171875" style="1" customWidth="1"/>
    <col min="4603" max="4604" width="8.41796875" style="1" customWidth="1"/>
    <col min="4605" max="4605" width="8.83984375" style="1"/>
    <col min="4606" max="4606" width="9.41796875" style="1" bestFit="1" customWidth="1"/>
    <col min="4607" max="4607" width="8.83984375" style="1"/>
    <col min="4608" max="4608" width="9.83984375" style="1" customWidth="1"/>
    <col min="4609" max="4609" width="8.83984375" style="1"/>
    <col min="4610" max="4610" width="5.15625" style="1" customWidth="1"/>
    <col min="4611" max="4611" width="5.26171875" style="1" customWidth="1"/>
    <col min="4612" max="4612" width="15.15625" style="1" customWidth="1"/>
    <col min="4613" max="4615" width="8.83984375" style="1"/>
    <col min="4616" max="4616" width="0" style="1" hidden="1" customWidth="1"/>
    <col min="4617" max="4617" width="8.83984375" style="1"/>
    <col min="4618" max="4618" width="0" style="1" hidden="1" customWidth="1"/>
    <col min="4619" max="4620" width="8.83984375" style="1"/>
    <col min="4621" max="4621" width="15.578125" style="1" bestFit="1" customWidth="1"/>
    <col min="4622" max="4856" width="8.83984375" style="1"/>
    <col min="4857" max="4857" width="2.83984375" style="1" customWidth="1"/>
    <col min="4858" max="4858" width="15.26171875" style="1" customWidth="1"/>
    <col min="4859" max="4860" width="8.41796875" style="1" customWidth="1"/>
    <col min="4861" max="4861" width="8.83984375" style="1"/>
    <col min="4862" max="4862" width="9.41796875" style="1" bestFit="1" customWidth="1"/>
    <col min="4863" max="4863" width="8.83984375" style="1"/>
    <col min="4864" max="4864" width="9.83984375" style="1" customWidth="1"/>
    <col min="4865" max="4865" width="8.83984375" style="1"/>
    <col min="4866" max="4866" width="5.15625" style="1" customWidth="1"/>
    <col min="4867" max="4867" width="5.26171875" style="1" customWidth="1"/>
    <col min="4868" max="4868" width="15.15625" style="1" customWidth="1"/>
    <col min="4869" max="4871" width="8.83984375" style="1"/>
    <col min="4872" max="4872" width="0" style="1" hidden="1" customWidth="1"/>
    <col min="4873" max="4873" width="8.83984375" style="1"/>
    <col min="4874" max="4874" width="0" style="1" hidden="1" customWidth="1"/>
    <col min="4875" max="4876" width="8.83984375" style="1"/>
    <col min="4877" max="4877" width="15.578125" style="1" bestFit="1" customWidth="1"/>
    <col min="4878" max="5112" width="8.83984375" style="1"/>
    <col min="5113" max="5113" width="2.83984375" style="1" customWidth="1"/>
    <col min="5114" max="5114" width="15.26171875" style="1" customWidth="1"/>
    <col min="5115" max="5116" width="8.41796875" style="1" customWidth="1"/>
    <col min="5117" max="5117" width="8.83984375" style="1"/>
    <col min="5118" max="5118" width="9.41796875" style="1" bestFit="1" customWidth="1"/>
    <col min="5119" max="5119" width="8.83984375" style="1"/>
    <col min="5120" max="5120" width="9.83984375" style="1" customWidth="1"/>
    <col min="5121" max="5121" width="8.83984375" style="1"/>
    <col min="5122" max="5122" width="5.15625" style="1" customWidth="1"/>
    <col min="5123" max="5123" width="5.26171875" style="1" customWidth="1"/>
    <col min="5124" max="5124" width="15.15625" style="1" customWidth="1"/>
    <col min="5125" max="5127" width="8.83984375" style="1"/>
    <col min="5128" max="5128" width="0" style="1" hidden="1" customWidth="1"/>
    <col min="5129" max="5129" width="8.83984375" style="1"/>
    <col min="5130" max="5130" width="0" style="1" hidden="1" customWidth="1"/>
    <col min="5131" max="5132" width="8.83984375" style="1"/>
    <col min="5133" max="5133" width="15.578125" style="1" bestFit="1" customWidth="1"/>
    <col min="5134" max="5368" width="8.83984375" style="1"/>
    <col min="5369" max="5369" width="2.83984375" style="1" customWidth="1"/>
    <col min="5370" max="5370" width="15.26171875" style="1" customWidth="1"/>
    <col min="5371" max="5372" width="8.41796875" style="1" customWidth="1"/>
    <col min="5373" max="5373" width="8.83984375" style="1"/>
    <col min="5374" max="5374" width="9.41796875" style="1" bestFit="1" customWidth="1"/>
    <col min="5375" max="5375" width="8.83984375" style="1"/>
    <col min="5376" max="5376" width="9.83984375" style="1" customWidth="1"/>
    <col min="5377" max="5377" width="8.83984375" style="1"/>
    <col min="5378" max="5378" width="5.15625" style="1" customWidth="1"/>
    <col min="5379" max="5379" width="5.26171875" style="1" customWidth="1"/>
    <col min="5380" max="5380" width="15.15625" style="1" customWidth="1"/>
    <col min="5381" max="5383" width="8.83984375" style="1"/>
    <col min="5384" max="5384" width="0" style="1" hidden="1" customWidth="1"/>
    <col min="5385" max="5385" width="8.83984375" style="1"/>
    <col min="5386" max="5386" width="0" style="1" hidden="1" customWidth="1"/>
    <col min="5387" max="5388" width="8.83984375" style="1"/>
    <col min="5389" max="5389" width="15.578125" style="1" bestFit="1" customWidth="1"/>
    <col min="5390" max="5624" width="8.83984375" style="1"/>
    <col min="5625" max="5625" width="2.83984375" style="1" customWidth="1"/>
    <col min="5626" max="5626" width="15.26171875" style="1" customWidth="1"/>
    <col min="5627" max="5628" width="8.41796875" style="1" customWidth="1"/>
    <col min="5629" max="5629" width="8.83984375" style="1"/>
    <col min="5630" max="5630" width="9.41796875" style="1" bestFit="1" customWidth="1"/>
    <col min="5631" max="5631" width="8.83984375" style="1"/>
    <col min="5632" max="5632" width="9.83984375" style="1" customWidth="1"/>
    <col min="5633" max="5633" width="8.83984375" style="1"/>
    <col min="5634" max="5634" width="5.15625" style="1" customWidth="1"/>
    <col min="5635" max="5635" width="5.26171875" style="1" customWidth="1"/>
    <col min="5636" max="5636" width="15.15625" style="1" customWidth="1"/>
    <col min="5637" max="5639" width="8.83984375" style="1"/>
    <col min="5640" max="5640" width="0" style="1" hidden="1" customWidth="1"/>
    <col min="5641" max="5641" width="8.83984375" style="1"/>
    <col min="5642" max="5642" width="0" style="1" hidden="1" customWidth="1"/>
    <col min="5643" max="5644" width="8.83984375" style="1"/>
    <col min="5645" max="5645" width="15.578125" style="1" bestFit="1" customWidth="1"/>
    <col min="5646" max="5880" width="8.83984375" style="1"/>
    <col min="5881" max="5881" width="2.83984375" style="1" customWidth="1"/>
    <col min="5882" max="5882" width="15.26171875" style="1" customWidth="1"/>
    <col min="5883" max="5884" width="8.41796875" style="1" customWidth="1"/>
    <col min="5885" max="5885" width="8.83984375" style="1"/>
    <col min="5886" max="5886" width="9.41796875" style="1" bestFit="1" customWidth="1"/>
    <col min="5887" max="5887" width="8.83984375" style="1"/>
    <col min="5888" max="5888" width="9.83984375" style="1" customWidth="1"/>
    <col min="5889" max="5889" width="8.83984375" style="1"/>
    <col min="5890" max="5890" width="5.15625" style="1" customWidth="1"/>
    <col min="5891" max="5891" width="5.26171875" style="1" customWidth="1"/>
    <col min="5892" max="5892" width="15.15625" style="1" customWidth="1"/>
    <col min="5893" max="5895" width="8.83984375" style="1"/>
    <col min="5896" max="5896" width="0" style="1" hidden="1" customWidth="1"/>
    <col min="5897" max="5897" width="8.83984375" style="1"/>
    <col min="5898" max="5898" width="0" style="1" hidden="1" customWidth="1"/>
    <col min="5899" max="5900" width="8.83984375" style="1"/>
    <col min="5901" max="5901" width="15.578125" style="1" bestFit="1" customWidth="1"/>
    <col min="5902" max="6136" width="8.83984375" style="1"/>
    <col min="6137" max="6137" width="2.83984375" style="1" customWidth="1"/>
    <col min="6138" max="6138" width="15.26171875" style="1" customWidth="1"/>
    <col min="6139" max="6140" width="8.41796875" style="1" customWidth="1"/>
    <col min="6141" max="6141" width="8.83984375" style="1"/>
    <col min="6142" max="6142" width="9.41796875" style="1" bestFit="1" customWidth="1"/>
    <col min="6143" max="6143" width="8.83984375" style="1"/>
    <col min="6144" max="6144" width="9.83984375" style="1" customWidth="1"/>
    <col min="6145" max="6145" width="8.83984375" style="1"/>
    <col min="6146" max="6146" width="5.15625" style="1" customWidth="1"/>
    <col min="6147" max="6147" width="5.26171875" style="1" customWidth="1"/>
    <col min="6148" max="6148" width="15.15625" style="1" customWidth="1"/>
    <col min="6149" max="6151" width="8.83984375" style="1"/>
    <col min="6152" max="6152" width="0" style="1" hidden="1" customWidth="1"/>
    <col min="6153" max="6153" width="8.83984375" style="1"/>
    <col min="6154" max="6154" width="0" style="1" hidden="1" customWidth="1"/>
    <col min="6155" max="6156" width="8.83984375" style="1"/>
    <col min="6157" max="6157" width="15.578125" style="1" bestFit="1" customWidth="1"/>
    <col min="6158" max="6392" width="8.83984375" style="1"/>
    <col min="6393" max="6393" width="2.83984375" style="1" customWidth="1"/>
    <col min="6394" max="6394" width="15.26171875" style="1" customWidth="1"/>
    <col min="6395" max="6396" width="8.41796875" style="1" customWidth="1"/>
    <col min="6397" max="6397" width="8.83984375" style="1"/>
    <col min="6398" max="6398" width="9.41796875" style="1" bestFit="1" customWidth="1"/>
    <col min="6399" max="6399" width="8.83984375" style="1"/>
    <col min="6400" max="6400" width="9.83984375" style="1" customWidth="1"/>
    <col min="6401" max="6401" width="8.83984375" style="1"/>
    <col min="6402" max="6402" width="5.15625" style="1" customWidth="1"/>
    <col min="6403" max="6403" width="5.26171875" style="1" customWidth="1"/>
    <col min="6404" max="6404" width="15.15625" style="1" customWidth="1"/>
    <col min="6405" max="6407" width="8.83984375" style="1"/>
    <col min="6408" max="6408" width="0" style="1" hidden="1" customWidth="1"/>
    <col min="6409" max="6409" width="8.83984375" style="1"/>
    <col min="6410" max="6410" width="0" style="1" hidden="1" customWidth="1"/>
    <col min="6411" max="6412" width="8.83984375" style="1"/>
    <col min="6413" max="6413" width="15.578125" style="1" bestFit="1" customWidth="1"/>
    <col min="6414" max="6648" width="8.83984375" style="1"/>
    <col min="6649" max="6649" width="2.83984375" style="1" customWidth="1"/>
    <col min="6650" max="6650" width="15.26171875" style="1" customWidth="1"/>
    <col min="6651" max="6652" width="8.41796875" style="1" customWidth="1"/>
    <col min="6653" max="6653" width="8.83984375" style="1"/>
    <col min="6654" max="6654" width="9.41796875" style="1" bestFit="1" customWidth="1"/>
    <col min="6655" max="6655" width="8.83984375" style="1"/>
    <col min="6656" max="6656" width="9.83984375" style="1" customWidth="1"/>
    <col min="6657" max="6657" width="8.83984375" style="1"/>
    <col min="6658" max="6658" width="5.15625" style="1" customWidth="1"/>
    <col min="6659" max="6659" width="5.26171875" style="1" customWidth="1"/>
    <col min="6660" max="6660" width="15.15625" style="1" customWidth="1"/>
    <col min="6661" max="6663" width="8.83984375" style="1"/>
    <col min="6664" max="6664" width="0" style="1" hidden="1" customWidth="1"/>
    <col min="6665" max="6665" width="8.83984375" style="1"/>
    <col min="6666" max="6666" width="0" style="1" hidden="1" customWidth="1"/>
    <col min="6667" max="6668" width="8.83984375" style="1"/>
    <col min="6669" max="6669" width="15.578125" style="1" bestFit="1" customWidth="1"/>
    <col min="6670" max="6904" width="8.83984375" style="1"/>
    <col min="6905" max="6905" width="2.83984375" style="1" customWidth="1"/>
    <col min="6906" max="6906" width="15.26171875" style="1" customWidth="1"/>
    <col min="6907" max="6908" width="8.41796875" style="1" customWidth="1"/>
    <col min="6909" max="6909" width="8.83984375" style="1"/>
    <col min="6910" max="6910" width="9.41796875" style="1" bestFit="1" customWidth="1"/>
    <col min="6911" max="6911" width="8.83984375" style="1"/>
    <col min="6912" max="6912" width="9.83984375" style="1" customWidth="1"/>
    <col min="6913" max="6913" width="8.83984375" style="1"/>
    <col min="6914" max="6914" width="5.15625" style="1" customWidth="1"/>
    <col min="6915" max="6915" width="5.26171875" style="1" customWidth="1"/>
    <col min="6916" max="6916" width="15.15625" style="1" customWidth="1"/>
    <col min="6917" max="6919" width="8.83984375" style="1"/>
    <col min="6920" max="6920" width="0" style="1" hidden="1" customWidth="1"/>
    <col min="6921" max="6921" width="8.83984375" style="1"/>
    <col min="6922" max="6922" width="0" style="1" hidden="1" customWidth="1"/>
    <col min="6923" max="6924" width="8.83984375" style="1"/>
    <col min="6925" max="6925" width="15.578125" style="1" bestFit="1" customWidth="1"/>
    <col min="6926" max="7160" width="8.83984375" style="1"/>
    <col min="7161" max="7161" width="2.83984375" style="1" customWidth="1"/>
    <col min="7162" max="7162" width="15.26171875" style="1" customWidth="1"/>
    <col min="7163" max="7164" width="8.41796875" style="1" customWidth="1"/>
    <col min="7165" max="7165" width="8.83984375" style="1"/>
    <col min="7166" max="7166" width="9.41796875" style="1" bestFit="1" customWidth="1"/>
    <col min="7167" max="7167" width="8.83984375" style="1"/>
    <col min="7168" max="7168" width="9.83984375" style="1" customWidth="1"/>
    <col min="7169" max="7169" width="8.83984375" style="1"/>
    <col min="7170" max="7170" width="5.15625" style="1" customWidth="1"/>
    <col min="7171" max="7171" width="5.26171875" style="1" customWidth="1"/>
    <col min="7172" max="7172" width="15.15625" style="1" customWidth="1"/>
    <col min="7173" max="7175" width="8.83984375" style="1"/>
    <col min="7176" max="7176" width="0" style="1" hidden="1" customWidth="1"/>
    <col min="7177" max="7177" width="8.83984375" style="1"/>
    <col min="7178" max="7178" width="0" style="1" hidden="1" customWidth="1"/>
    <col min="7179" max="7180" width="8.83984375" style="1"/>
    <col min="7181" max="7181" width="15.578125" style="1" bestFit="1" customWidth="1"/>
    <col min="7182" max="7416" width="8.83984375" style="1"/>
    <col min="7417" max="7417" width="2.83984375" style="1" customWidth="1"/>
    <col min="7418" max="7418" width="15.26171875" style="1" customWidth="1"/>
    <col min="7419" max="7420" width="8.41796875" style="1" customWidth="1"/>
    <col min="7421" max="7421" width="8.83984375" style="1"/>
    <col min="7422" max="7422" width="9.41796875" style="1" bestFit="1" customWidth="1"/>
    <col min="7423" max="7423" width="8.83984375" style="1"/>
    <col min="7424" max="7424" width="9.83984375" style="1" customWidth="1"/>
    <col min="7425" max="7425" width="8.83984375" style="1"/>
    <col min="7426" max="7426" width="5.15625" style="1" customWidth="1"/>
    <col min="7427" max="7427" width="5.26171875" style="1" customWidth="1"/>
    <col min="7428" max="7428" width="15.15625" style="1" customWidth="1"/>
    <col min="7429" max="7431" width="8.83984375" style="1"/>
    <col min="7432" max="7432" width="0" style="1" hidden="1" customWidth="1"/>
    <col min="7433" max="7433" width="8.83984375" style="1"/>
    <col min="7434" max="7434" width="0" style="1" hidden="1" customWidth="1"/>
    <col min="7435" max="7436" width="8.83984375" style="1"/>
    <col min="7437" max="7437" width="15.578125" style="1" bestFit="1" customWidth="1"/>
    <col min="7438" max="7672" width="8.83984375" style="1"/>
    <col min="7673" max="7673" width="2.83984375" style="1" customWidth="1"/>
    <col min="7674" max="7674" width="15.26171875" style="1" customWidth="1"/>
    <col min="7675" max="7676" width="8.41796875" style="1" customWidth="1"/>
    <col min="7677" max="7677" width="8.83984375" style="1"/>
    <col min="7678" max="7678" width="9.41796875" style="1" bestFit="1" customWidth="1"/>
    <col min="7679" max="7679" width="8.83984375" style="1"/>
    <col min="7680" max="7680" width="9.83984375" style="1" customWidth="1"/>
    <col min="7681" max="7681" width="8.83984375" style="1"/>
    <col min="7682" max="7682" width="5.15625" style="1" customWidth="1"/>
    <col min="7683" max="7683" width="5.26171875" style="1" customWidth="1"/>
    <col min="7684" max="7684" width="15.15625" style="1" customWidth="1"/>
    <col min="7685" max="7687" width="8.83984375" style="1"/>
    <col min="7688" max="7688" width="0" style="1" hidden="1" customWidth="1"/>
    <col min="7689" max="7689" width="8.83984375" style="1"/>
    <col min="7690" max="7690" width="0" style="1" hidden="1" customWidth="1"/>
    <col min="7691" max="7692" width="8.83984375" style="1"/>
    <col min="7693" max="7693" width="15.578125" style="1" bestFit="1" customWidth="1"/>
    <col min="7694" max="7928" width="8.83984375" style="1"/>
    <col min="7929" max="7929" width="2.83984375" style="1" customWidth="1"/>
    <col min="7930" max="7930" width="15.26171875" style="1" customWidth="1"/>
    <col min="7931" max="7932" width="8.41796875" style="1" customWidth="1"/>
    <col min="7933" max="7933" width="8.83984375" style="1"/>
    <col min="7934" max="7934" width="9.41796875" style="1" bestFit="1" customWidth="1"/>
    <col min="7935" max="7935" width="8.83984375" style="1"/>
    <col min="7936" max="7936" width="9.83984375" style="1" customWidth="1"/>
    <col min="7937" max="7937" width="8.83984375" style="1"/>
    <col min="7938" max="7938" width="5.15625" style="1" customWidth="1"/>
    <col min="7939" max="7939" width="5.26171875" style="1" customWidth="1"/>
    <col min="7940" max="7940" width="15.15625" style="1" customWidth="1"/>
    <col min="7941" max="7943" width="8.83984375" style="1"/>
    <col min="7944" max="7944" width="0" style="1" hidden="1" customWidth="1"/>
    <col min="7945" max="7945" width="8.83984375" style="1"/>
    <col min="7946" max="7946" width="0" style="1" hidden="1" customWidth="1"/>
    <col min="7947" max="7948" width="8.83984375" style="1"/>
    <col min="7949" max="7949" width="15.578125" style="1" bestFit="1" customWidth="1"/>
    <col min="7950" max="8184" width="8.83984375" style="1"/>
    <col min="8185" max="8185" width="2.83984375" style="1" customWidth="1"/>
    <col min="8186" max="8186" width="15.26171875" style="1" customWidth="1"/>
    <col min="8187" max="8188" width="8.41796875" style="1" customWidth="1"/>
    <col min="8189" max="8189" width="8.83984375" style="1"/>
    <col min="8190" max="8190" width="9.41796875" style="1" bestFit="1" customWidth="1"/>
    <col min="8191" max="8191" width="8.83984375" style="1"/>
    <col min="8192" max="8192" width="9.83984375" style="1" customWidth="1"/>
    <col min="8193" max="8193" width="8.83984375" style="1"/>
    <col min="8194" max="8194" width="5.15625" style="1" customWidth="1"/>
    <col min="8195" max="8195" width="5.26171875" style="1" customWidth="1"/>
    <col min="8196" max="8196" width="15.15625" style="1" customWidth="1"/>
    <col min="8197" max="8199" width="8.83984375" style="1"/>
    <col min="8200" max="8200" width="0" style="1" hidden="1" customWidth="1"/>
    <col min="8201" max="8201" width="8.83984375" style="1"/>
    <col min="8202" max="8202" width="0" style="1" hidden="1" customWidth="1"/>
    <col min="8203" max="8204" width="8.83984375" style="1"/>
    <col min="8205" max="8205" width="15.578125" style="1" bestFit="1" customWidth="1"/>
    <col min="8206" max="8440" width="8.83984375" style="1"/>
    <col min="8441" max="8441" width="2.83984375" style="1" customWidth="1"/>
    <col min="8442" max="8442" width="15.26171875" style="1" customWidth="1"/>
    <col min="8443" max="8444" width="8.41796875" style="1" customWidth="1"/>
    <col min="8445" max="8445" width="8.83984375" style="1"/>
    <col min="8446" max="8446" width="9.41796875" style="1" bestFit="1" customWidth="1"/>
    <col min="8447" max="8447" width="8.83984375" style="1"/>
    <col min="8448" max="8448" width="9.83984375" style="1" customWidth="1"/>
    <col min="8449" max="8449" width="8.83984375" style="1"/>
    <col min="8450" max="8450" width="5.15625" style="1" customWidth="1"/>
    <col min="8451" max="8451" width="5.26171875" style="1" customWidth="1"/>
    <col min="8452" max="8452" width="15.15625" style="1" customWidth="1"/>
    <col min="8453" max="8455" width="8.83984375" style="1"/>
    <col min="8456" max="8456" width="0" style="1" hidden="1" customWidth="1"/>
    <col min="8457" max="8457" width="8.83984375" style="1"/>
    <col min="8458" max="8458" width="0" style="1" hidden="1" customWidth="1"/>
    <col min="8459" max="8460" width="8.83984375" style="1"/>
    <col min="8461" max="8461" width="15.578125" style="1" bestFit="1" customWidth="1"/>
    <col min="8462" max="8696" width="8.83984375" style="1"/>
    <col min="8697" max="8697" width="2.83984375" style="1" customWidth="1"/>
    <col min="8698" max="8698" width="15.26171875" style="1" customWidth="1"/>
    <col min="8699" max="8700" width="8.41796875" style="1" customWidth="1"/>
    <col min="8701" max="8701" width="8.83984375" style="1"/>
    <col min="8702" max="8702" width="9.41796875" style="1" bestFit="1" customWidth="1"/>
    <col min="8703" max="8703" width="8.83984375" style="1"/>
    <col min="8704" max="8704" width="9.83984375" style="1" customWidth="1"/>
    <col min="8705" max="8705" width="8.83984375" style="1"/>
    <col min="8706" max="8706" width="5.15625" style="1" customWidth="1"/>
    <col min="8707" max="8707" width="5.26171875" style="1" customWidth="1"/>
    <col min="8708" max="8708" width="15.15625" style="1" customWidth="1"/>
    <col min="8709" max="8711" width="8.83984375" style="1"/>
    <col min="8712" max="8712" width="0" style="1" hidden="1" customWidth="1"/>
    <col min="8713" max="8713" width="8.83984375" style="1"/>
    <col min="8714" max="8714" width="0" style="1" hidden="1" customWidth="1"/>
    <col min="8715" max="8716" width="8.83984375" style="1"/>
    <col min="8717" max="8717" width="15.578125" style="1" bestFit="1" customWidth="1"/>
    <col min="8718" max="8952" width="8.83984375" style="1"/>
    <col min="8953" max="8953" width="2.83984375" style="1" customWidth="1"/>
    <col min="8954" max="8954" width="15.26171875" style="1" customWidth="1"/>
    <col min="8955" max="8956" width="8.41796875" style="1" customWidth="1"/>
    <col min="8957" max="8957" width="8.83984375" style="1"/>
    <col min="8958" max="8958" width="9.41796875" style="1" bestFit="1" customWidth="1"/>
    <col min="8959" max="8959" width="8.83984375" style="1"/>
    <col min="8960" max="8960" width="9.83984375" style="1" customWidth="1"/>
    <col min="8961" max="8961" width="8.83984375" style="1"/>
    <col min="8962" max="8962" width="5.15625" style="1" customWidth="1"/>
    <col min="8963" max="8963" width="5.26171875" style="1" customWidth="1"/>
    <col min="8964" max="8964" width="15.15625" style="1" customWidth="1"/>
    <col min="8965" max="8967" width="8.83984375" style="1"/>
    <col min="8968" max="8968" width="0" style="1" hidden="1" customWidth="1"/>
    <col min="8969" max="8969" width="8.83984375" style="1"/>
    <col min="8970" max="8970" width="0" style="1" hidden="1" customWidth="1"/>
    <col min="8971" max="8972" width="8.83984375" style="1"/>
    <col min="8973" max="8973" width="15.578125" style="1" bestFit="1" customWidth="1"/>
    <col min="8974" max="9208" width="8.83984375" style="1"/>
    <col min="9209" max="9209" width="2.83984375" style="1" customWidth="1"/>
    <col min="9210" max="9210" width="15.26171875" style="1" customWidth="1"/>
    <col min="9211" max="9212" width="8.41796875" style="1" customWidth="1"/>
    <col min="9213" max="9213" width="8.83984375" style="1"/>
    <col min="9214" max="9214" width="9.41796875" style="1" bestFit="1" customWidth="1"/>
    <col min="9215" max="9215" width="8.83984375" style="1"/>
    <col min="9216" max="9216" width="9.83984375" style="1" customWidth="1"/>
    <col min="9217" max="9217" width="8.83984375" style="1"/>
    <col min="9218" max="9218" width="5.15625" style="1" customWidth="1"/>
    <col min="9219" max="9219" width="5.26171875" style="1" customWidth="1"/>
    <col min="9220" max="9220" width="15.15625" style="1" customWidth="1"/>
    <col min="9221" max="9223" width="8.83984375" style="1"/>
    <col min="9224" max="9224" width="0" style="1" hidden="1" customWidth="1"/>
    <col min="9225" max="9225" width="8.83984375" style="1"/>
    <col min="9226" max="9226" width="0" style="1" hidden="1" customWidth="1"/>
    <col min="9227" max="9228" width="8.83984375" style="1"/>
    <col min="9229" max="9229" width="15.578125" style="1" bestFit="1" customWidth="1"/>
    <col min="9230" max="9464" width="8.83984375" style="1"/>
    <col min="9465" max="9465" width="2.83984375" style="1" customWidth="1"/>
    <col min="9466" max="9466" width="15.26171875" style="1" customWidth="1"/>
    <col min="9467" max="9468" width="8.41796875" style="1" customWidth="1"/>
    <col min="9469" max="9469" width="8.83984375" style="1"/>
    <col min="9470" max="9470" width="9.41796875" style="1" bestFit="1" customWidth="1"/>
    <col min="9471" max="9471" width="8.83984375" style="1"/>
    <col min="9472" max="9472" width="9.83984375" style="1" customWidth="1"/>
    <col min="9473" max="9473" width="8.83984375" style="1"/>
    <col min="9474" max="9474" width="5.15625" style="1" customWidth="1"/>
    <col min="9475" max="9475" width="5.26171875" style="1" customWidth="1"/>
    <col min="9476" max="9476" width="15.15625" style="1" customWidth="1"/>
    <col min="9477" max="9479" width="8.83984375" style="1"/>
    <col min="9480" max="9480" width="0" style="1" hidden="1" customWidth="1"/>
    <col min="9481" max="9481" width="8.83984375" style="1"/>
    <col min="9482" max="9482" width="0" style="1" hidden="1" customWidth="1"/>
    <col min="9483" max="9484" width="8.83984375" style="1"/>
    <col min="9485" max="9485" width="15.578125" style="1" bestFit="1" customWidth="1"/>
    <col min="9486" max="9720" width="8.83984375" style="1"/>
    <col min="9721" max="9721" width="2.83984375" style="1" customWidth="1"/>
    <col min="9722" max="9722" width="15.26171875" style="1" customWidth="1"/>
    <col min="9723" max="9724" width="8.41796875" style="1" customWidth="1"/>
    <col min="9725" max="9725" width="8.83984375" style="1"/>
    <col min="9726" max="9726" width="9.41796875" style="1" bestFit="1" customWidth="1"/>
    <col min="9727" max="9727" width="8.83984375" style="1"/>
    <col min="9728" max="9728" width="9.83984375" style="1" customWidth="1"/>
    <col min="9729" max="9729" width="8.83984375" style="1"/>
    <col min="9730" max="9730" width="5.15625" style="1" customWidth="1"/>
    <col min="9731" max="9731" width="5.26171875" style="1" customWidth="1"/>
    <col min="9732" max="9732" width="15.15625" style="1" customWidth="1"/>
    <col min="9733" max="9735" width="8.83984375" style="1"/>
    <col min="9736" max="9736" width="0" style="1" hidden="1" customWidth="1"/>
    <col min="9737" max="9737" width="8.83984375" style="1"/>
    <col min="9738" max="9738" width="0" style="1" hidden="1" customWidth="1"/>
    <col min="9739" max="9740" width="8.83984375" style="1"/>
    <col min="9741" max="9741" width="15.578125" style="1" bestFit="1" customWidth="1"/>
    <col min="9742" max="9976" width="8.83984375" style="1"/>
    <col min="9977" max="9977" width="2.83984375" style="1" customWidth="1"/>
    <col min="9978" max="9978" width="15.26171875" style="1" customWidth="1"/>
    <col min="9979" max="9980" width="8.41796875" style="1" customWidth="1"/>
    <col min="9981" max="9981" width="8.83984375" style="1"/>
    <col min="9982" max="9982" width="9.41796875" style="1" bestFit="1" customWidth="1"/>
    <col min="9983" max="9983" width="8.83984375" style="1"/>
    <col min="9984" max="9984" width="9.83984375" style="1" customWidth="1"/>
    <col min="9985" max="9985" width="8.83984375" style="1"/>
    <col min="9986" max="9986" width="5.15625" style="1" customWidth="1"/>
    <col min="9987" max="9987" width="5.26171875" style="1" customWidth="1"/>
    <col min="9988" max="9988" width="15.15625" style="1" customWidth="1"/>
    <col min="9989" max="9991" width="8.83984375" style="1"/>
    <col min="9992" max="9992" width="0" style="1" hidden="1" customWidth="1"/>
    <col min="9993" max="9993" width="8.83984375" style="1"/>
    <col min="9994" max="9994" width="0" style="1" hidden="1" customWidth="1"/>
    <col min="9995" max="9996" width="8.83984375" style="1"/>
    <col min="9997" max="9997" width="15.578125" style="1" bestFit="1" customWidth="1"/>
    <col min="9998" max="10232" width="8.83984375" style="1"/>
    <col min="10233" max="10233" width="2.83984375" style="1" customWidth="1"/>
    <col min="10234" max="10234" width="15.26171875" style="1" customWidth="1"/>
    <col min="10235" max="10236" width="8.41796875" style="1" customWidth="1"/>
    <col min="10237" max="10237" width="8.83984375" style="1"/>
    <col min="10238" max="10238" width="9.41796875" style="1" bestFit="1" customWidth="1"/>
    <col min="10239" max="10239" width="8.83984375" style="1"/>
    <col min="10240" max="10240" width="9.83984375" style="1" customWidth="1"/>
    <col min="10241" max="10241" width="8.83984375" style="1"/>
    <col min="10242" max="10242" width="5.15625" style="1" customWidth="1"/>
    <col min="10243" max="10243" width="5.26171875" style="1" customWidth="1"/>
    <col min="10244" max="10244" width="15.15625" style="1" customWidth="1"/>
    <col min="10245" max="10247" width="8.83984375" style="1"/>
    <col min="10248" max="10248" width="0" style="1" hidden="1" customWidth="1"/>
    <col min="10249" max="10249" width="8.83984375" style="1"/>
    <col min="10250" max="10250" width="0" style="1" hidden="1" customWidth="1"/>
    <col min="10251" max="10252" width="8.83984375" style="1"/>
    <col min="10253" max="10253" width="15.578125" style="1" bestFit="1" customWidth="1"/>
    <col min="10254" max="10488" width="8.83984375" style="1"/>
    <col min="10489" max="10489" width="2.83984375" style="1" customWidth="1"/>
    <col min="10490" max="10490" width="15.26171875" style="1" customWidth="1"/>
    <col min="10491" max="10492" width="8.41796875" style="1" customWidth="1"/>
    <col min="10493" max="10493" width="8.83984375" style="1"/>
    <col min="10494" max="10494" width="9.41796875" style="1" bestFit="1" customWidth="1"/>
    <col min="10495" max="10495" width="8.83984375" style="1"/>
    <col min="10496" max="10496" width="9.83984375" style="1" customWidth="1"/>
    <col min="10497" max="10497" width="8.83984375" style="1"/>
    <col min="10498" max="10498" width="5.15625" style="1" customWidth="1"/>
    <col min="10499" max="10499" width="5.26171875" style="1" customWidth="1"/>
    <col min="10500" max="10500" width="15.15625" style="1" customWidth="1"/>
    <col min="10501" max="10503" width="8.83984375" style="1"/>
    <col min="10504" max="10504" width="0" style="1" hidden="1" customWidth="1"/>
    <col min="10505" max="10505" width="8.83984375" style="1"/>
    <col min="10506" max="10506" width="0" style="1" hidden="1" customWidth="1"/>
    <col min="10507" max="10508" width="8.83984375" style="1"/>
    <col min="10509" max="10509" width="15.578125" style="1" bestFit="1" customWidth="1"/>
    <col min="10510" max="10744" width="8.83984375" style="1"/>
    <col min="10745" max="10745" width="2.83984375" style="1" customWidth="1"/>
    <col min="10746" max="10746" width="15.26171875" style="1" customWidth="1"/>
    <col min="10747" max="10748" width="8.41796875" style="1" customWidth="1"/>
    <col min="10749" max="10749" width="8.83984375" style="1"/>
    <col min="10750" max="10750" width="9.41796875" style="1" bestFit="1" customWidth="1"/>
    <col min="10751" max="10751" width="8.83984375" style="1"/>
    <col min="10752" max="10752" width="9.83984375" style="1" customWidth="1"/>
    <col min="10753" max="10753" width="8.83984375" style="1"/>
    <col min="10754" max="10754" width="5.15625" style="1" customWidth="1"/>
    <col min="10755" max="10755" width="5.26171875" style="1" customWidth="1"/>
    <col min="10756" max="10756" width="15.15625" style="1" customWidth="1"/>
    <col min="10757" max="10759" width="8.83984375" style="1"/>
    <col min="10760" max="10760" width="0" style="1" hidden="1" customWidth="1"/>
    <col min="10761" max="10761" width="8.83984375" style="1"/>
    <col min="10762" max="10762" width="0" style="1" hidden="1" customWidth="1"/>
    <col min="10763" max="10764" width="8.83984375" style="1"/>
    <col min="10765" max="10765" width="15.578125" style="1" bestFit="1" customWidth="1"/>
    <col min="10766" max="11000" width="8.83984375" style="1"/>
    <col min="11001" max="11001" width="2.83984375" style="1" customWidth="1"/>
    <col min="11002" max="11002" width="15.26171875" style="1" customWidth="1"/>
    <col min="11003" max="11004" width="8.41796875" style="1" customWidth="1"/>
    <col min="11005" max="11005" width="8.83984375" style="1"/>
    <col min="11006" max="11006" width="9.41796875" style="1" bestFit="1" customWidth="1"/>
    <col min="11007" max="11007" width="8.83984375" style="1"/>
    <col min="11008" max="11008" width="9.83984375" style="1" customWidth="1"/>
    <col min="11009" max="11009" width="8.83984375" style="1"/>
    <col min="11010" max="11010" width="5.15625" style="1" customWidth="1"/>
    <col min="11011" max="11011" width="5.26171875" style="1" customWidth="1"/>
    <col min="11012" max="11012" width="15.15625" style="1" customWidth="1"/>
    <col min="11013" max="11015" width="8.83984375" style="1"/>
    <col min="11016" max="11016" width="0" style="1" hidden="1" customWidth="1"/>
    <col min="11017" max="11017" width="8.83984375" style="1"/>
    <col min="11018" max="11018" width="0" style="1" hidden="1" customWidth="1"/>
    <col min="11019" max="11020" width="8.83984375" style="1"/>
    <col min="11021" max="11021" width="15.578125" style="1" bestFit="1" customWidth="1"/>
    <col min="11022" max="11256" width="8.83984375" style="1"/>
    <col min="11257" max="11257" width="2.83984375" style="1" customWidth="1"/>
    <col min="11258" max="11258" width="15.26171875" style="1" customWidth="1"/>
    <col min="11259" max="11260" width="8.41796875" style="1" customWidth="1"/>
    <col min="11261" max="11261" width="8.83984375" style="1"/>
    <col min="11262" max="11262" width="9.41796875" style="1" bestFit="1" customWidth="1"/>
    <col min="11263" max="11263" width="8.83984375" style="1"/>
    <col min="11264" max="11264" width="9.83984375" style="1" customWidth="1"/>
    <col min="11265" max="11265" width="8.83984375" style="1"/>
    <col min="11266" max="11266" width="5.15625" style="1" customWidth="1"/>
    <col min="11267" max="11267" width="5.26171875" style="1" customWidth="1"/>
    <col min="11268" max="11268" width="15.15625" style="1" customWidth="1"/>
    <col min="11269" max="11271" width="8.83984375" style="1"/>
    <col min="11272" max="11272" width="0" style="1" hidden="1" customWidth="1"/>
    <col min="11273" max="11273" width="8.83984375" style="1"/>
    <col min="11274" max="11274" width="0" style="1" hidden="1" customWidth="1"/>
    <col min="11275" max="11276" width="8.83984375" style="1"/>
    <col min="11277" max="11277" width="15.578125" style="1" bestFit="1" customWidth="1"/>
    <col min="11278" max="11512" width="8.83984375" style="1"/>
    <col min="11513" max="11513" width="2.83984375" style="1" customWidth="1"/>
    <col min="11514" max="11514" width="15.26171875" style="1" customWidth="1"/>
    <col min="11515" max="11516" width="8.41796875" style="1" customWidth="1"/>
    <col min="11517" max="11517" width="8.83984375" style="1"/>
    <col min="11518" max="11518" width="9.41796875" style="1" bestFit="1" customWidth="1"/>
    <col min="11519" max="11519" width="8.83984375" style="1"/>
    <col min="11520" max="11520" width="9.83984375" style="1" customWidth="1"/>
    <col min="11521" max="11521" width="8.83984375" style="1"/>
    <col min="11522" max="11522" width="5.15625" style="1" customWidth="1"/>
    <col min="11523" max="11523" width="5.26171875" style="1" customWidth="1"/>
    <col min="11524" max="11524" width="15.15625" style="1" customWidth="1"/>
    <col min="11525" max="11527" width="8.83984375" style="1"/>
    <col min="11528" max="11528" width="0" style="1" hidden="1" customWidth="1"/>
    <col min="11529" max="11529" width="8.83984375" style="1"/>
    <col min="11530" max="11530" width="0" style="1" hidden="1" customWidth="1"/>
    <col min="11531" max="11532" width="8.83984375" style="1"/>
    <col min="11533" max="11533" width="15.578125" style="1" bestFit="1" customWidth="1"/>
    <col min="11534" max="11768" width="8.83984375" style="1"/>
    <col min="11769" max="11769" width="2.83984375" style="1" customWidth="1"/>
    <col min="11770" max="11770" width="15.26171875" style="1" customWidth="1"/>
    <col min="11771" max="11772" width="8.41796875" style="1" customWidth="1"/>
    <col min="11773" max="11773" width="8.83984375" style="1"/>
    <col min="11774" max="11774" width="9.41796875" style="1" bestFit="1" customWidth="1"/>
    <col min="11775" max="11775" width="8.83984375" style="1"/>
    <col min="11776" max="11776" width="9.83984375" style="1" customWidth="1"/>
    <col min="11777" max="11777" width="8.83984375" style="1"/>
    <col min="11778" max="11778" width="5.15625" style="1" customWidth="1"/>
    <col min="11779" max="11779" width="5.26171875" style="1" customWidth="1"/>
    <col min="11780" max="11780" width="15.15625" style="1" customWidth="1"/>
    <col min="11781" max="11783" width="8.83984375" style="1"/>
    <col min="11784" max="11784" width="0" style="1" hidden="1" customWidth="1"/>
    <col min="11785" max="11785" width="8.83984375" style="1"/>
    <col min="11786" max="11786" width="0" style="1" hidden="1" customWidth="1"/>
    <col min="11787" max="11788" width="8.83984375" style="1"/>
    <col min="11789" max="11789" width="15.578125" style="1" bestFit="1" customWidth="1"/>
    <col min="11790" max="12024" width="8.83984375" style="1"/>
    <col min="12025" max="12025" width="2.83984375" style="1" customWidth="1"/>
    <col min="12026" max="12026" width="15.26171875" style="1" customWidth="1"/>
    <col min="12027" max="12028" width="8.41796875" style="1" customWidth="1"/>
    <col min="12029" max="12029" width="8.83984375" style="1"/>
    <col min="12030" max="12030" width="9.41796875" style="1" bestFit="1" customWidth="1"/>
    <col min="12031" max="12031" width="8.83984375" style="1"/>
    <col min="12032" max="12032" width="9.83984375" style="1" customWidth="1"/>
    <col min="12033" max="12033" width="8.83984375" style="1"/>
    <col min="12034" max="12034" width="5.15625" style="1" customWidth="1"/>
    <col min="12035" max="12035" width="5.26171875" style="1" customWidth="1"/>
    <col min="12036" max="12036" width="15.15625" style="1" customWidth="1"/>
    <col min="12037" max="12039" width="8.83984375" style="1"/>
    <col min="12040" max="12040" width="0" style="1" hidden="1" customWidth="1"/>
    <col min="12041" max="12041" width="8.83984375" style="1"/>
    <col min="12042" max="12042" width="0" style="1" hidden="1" customWidth="1"/>
    <col min="12043" max="12044" width="8.83984375" style="1"/>
    <col min="12045" max="12045" width="15.578125" style="1" bestFit="1" customWidth="1"/>
    <col min="12046" max="12280" width="8.83984375" style="1"/>
    <col min="12281" max="12281" width="2.83984375" style="1" customWidth="1"/>
    <col min="12282" max="12282" width="15.26171875" style="1" customWidth="1"/>
    <col min="12283" max="12284" width="8.41796875" style="1" customWidth="1"/>
    <col min="12285" max="12285" width="8.83984375" style="1"/>
    <col min="12286" max="12286" width="9.41796875" style="1" bestFit="1" customWidth="1"/>
    <col min="12287" max="12287" width="8.83984375" style="1"/>
    <col min="12288" max="12288" width="9.83984375" style="1" customWidth="1"/>
    <col min="12289" max="12289" width="8.83984375" style="1"/>
    <col min="12290" max="12290" width="5.15625" style="1" customWidth="1"/>
    <col min="12291" max="12291" width="5.26171875" style="1" customWidth="1"/>
    <col min="12292" max="12292" width="15.15625" style="1" customWidth="1"/>
    <col min="12293" max="12295" width="8.83984375" style="1"/>
    <col min="12296" max="12296" width="0" style="1" hidden="1" customWidth="1"/>
    <col min="12297" max="12297" width="8.83984375" style="1"/>
    <col min="12298" max="12298" width="0" style="1" hidden="1" customWidth="1"/>
    <col min="12299" max="12300" width="8.83984375" style="1"/>
    <col min="12301" max="12301" width="15.578125" style="1" bestFit="1" customWidth="1"/>
    <col min="12302" max="12536" width="8.83984375" style="1"/>
    <col min="12537" max="12537" width="2.83984375" style="1" customWidth="1"/>
    <col min="12538" max="12538" width="15.26171875" style="1" customWidth="1"/>
    <col min="12539" max="12540" width="8.41796875" style="1" customWidth="1"/>
    <col min="12541" max="12541" width="8.83984375" style="1"/>
    <col min="12542" max="12542" width="9.41796875" style="1" bestFit="1" customWidth="1"/>
    <col min="12543" max="12543" width="8.83984375" style="1"/>
    <col min="12544" max="12544" width="9.83984375" style="1" customWidth="1"/>
    <col min="12545" max="12545" width="8.83984375" style="1"/>
    <col min="12546" max="12546" width="5.15625" style="1" customWidth="1"/>
    <col min="12547" max="12547" width="5.26171875" style="1" customWidth="1"/>
    <col min="12548" max="12548" width="15.15625" style="1" customWidth="1"/>
    <col min="12549" max="12551" width="8.83984375" style="1"/>
    <col min="12552" max="12552" width="0" style="1" hidden="1" customWidth="1"/>
    <col min="12553" max="12553" width="8.83984375" style="1"/>
    <col min="12554" max="12554" width="0" style="1" hidden="1" customWidth="1"/>
    <col min="12555" max="12556" width="8.83984375" style="1"/>
    <col min="12557" max="12557" width="15.578125" style="1" bestFit="1" customWidth="1"/>
    <col min="12558" max="12792" width="8.83984375" style="1"/>
    <col min="12793" max="12793" width="2.83984375" style="1" customWidth="1"/>
    <col min="12794" max="12794" width="15.26171875" style="1" customWidth="1"/>
    <col min="12795" max="12796" width="8.41796875" style="1" customWidth="1"/>
    <col min="12797" max="12797" width="8.83984375" style="1"/>
    <col min="12798" max="12798" width="9.41796875" style="1" bestFit="1" customWidth="1"/>
    <col min="12799" max="12799" width="8.83984375" style="1"/>
    <col min="12800" max="12800" width="9.83984375" style="1" customWidth="1"/>
    <col min="12801" max="12801" width="8.83984375" style="1"/>
    <col min="12802" max="12802" width="5.15625" style="1" customWidth="1"/>
    <col min="12803" max="12803" width="5.26171875" style="1" customWidth="1"/>
    <col min="12804" max="12804" width="15.15625" style="1" customWidth="1"/>
    <col min="12805" max="12807" width="8.83984375" style="1"/>
    <col min="12808" max="12808" width="0" style="1" hidden="1" customWidth="1"/>
    <col min="12809" max="12809" width="8.83984375" style="1"/>
    <col min="12810" max="12810" width="0" style="1" hidden="1" customWidth="1"/>
    <col min="12811" max="12812" width="8.83984375" style="1"/>
    <col min="12813" max="12813" width="15.578125" style="1" bestFit="1" customWidth="1"/>
    <col min="12814" max="13048" width="8.83984375" style="1"/>
    <col min="13049" max="13049" width="2.83984375" style="1" customWidth="1"/>
    <col min="13050" max="13050" width="15.26171875" style="1" customWidth="1"/>
    <col min="13051" max="13052" width="8.41796875" style="1" customWidth="1"/>
    <col min="13053" max="13053" width="8.83984375" style="1"/>
    <col min="13054" max="13054" width="9.41796875" style="1" bestFit="1" customWidth="1"/>
    <col min="13055" max="13055" width="8.83984375" style="1"/>
    <col min="13056" max="13056" width="9.83984375" style="1" customWidth="1"/>
    <col min="13057" max="13057" width="8.83984375" style="1"/>
    <col min="13058" max="13058" width="5.15625" style="1" customWidth="1"/>
    <col min="13059" max="13059" width="5.26171875" style="1" customWidth="1"/>
    <col min="13060" max="13060" width="15.15625" style="1" customWidth="1"/>
    <col min="13061" max="13063" width="8.83984375" style="1"/>
    <col min="13064" max="13064" width="0" style="1" hidden="1" customWidth="1"/>
    <col min="13065" max="13065" width="8.83984375" style="1"/>
    <col min="13066" max="13066" width="0" style="1" hidden="1" customWidth="1"/>
    <col min="13067" max="13068" width="8.83984375" style="1"/>
    <col min="13069" max="13069" width="15.578125" style="1" bestFit="1" customWidth="1"/>
    <col min="13070" max="13304" width="8.83984375" style="1"/>
    <col min="13305" max="13305" width="2.83984375" style="1" customWidth="1"/>
    <col min="13306" max="13306" width="15.26171875" style="1" customWidth="1"/>
    <col min="13307" max="13308" width="8.41796875" style="1" customWidth="1"/>
    <col min="13309" max="13309" width="8.83984375" style="1"/>
    <col min="13310" max="13310" width="9.41796875" style="1" bestFit="1" customWidth="1"/>
    <col min="13311" max="13311" width="8.83984375" style="1"/>
    <col min="13312" max="13312" width="9.83984375" style="1" customWidth="1"/>
    <col min="13313" max="13313" width="8.83984375" style="1"/>
    <col min="13314" max="13314" width="5.15625" style="1" customWidth="1"/>
    <col min="13315" max="13315" width="5.26171875" style="1" customWidth="1"/>
    <col min="13316" max="13316" width="15.15625" style="1" customWidth="1"/>
    <col min="13317" max="13319" width="8.83984375" style="1"/>
    <col min="13320" max="13320" width="0" style="1" hidden="1" customWidth="1"/>
    <col min="13321" max="13321" width="8.83984375" style="1"/>
    <col min="13322" max="13322" width="0" style="1" hidden="1" customWidth="1"/>
    <col min="13323" max="13324" width="8.83984375" style="1"/>
    <col min="13325" max="13325" width="15.578125" style="1" bestFit="1" customWidth="1"/>
    <col min="13326" max="13560" width="8.83984375" style="1"/>
    <col min="13561" max="13561" width="2.83984375" style="1" customWidth="1"/>
    <col min="13562" max="13562" width="15.26171875" style="1" customWidth="1"/>
    <col min="13563" max="13564" width="8.41796875" style="1" customWidth="1"/>
    <col min="13565" max="13565" width="8.83984375" style="1"/>
    <col min="13566" max="13566" width="9.41796875" style="1" bestFit="1" customWidth="1"/>
    <col min="13567" max="13567" width="8.83984375" style="1"/>
    <col min="13568" max="13568" width="9.83984375" style="1" customWidth="1"/>
    <col min="13569" max="13569" width="8.83984375" style="1"/>
    <col min="13570" max="13570" width="5.15625" style="1" customWidth="1"/>
    <col min="13571" max="13571" width="5.26171875" style="1" customWidth="1"/>
    <col min="13572" max="13572" width="15.15625" style="1" customWidth="1"/>
    <col min="13573" max="13575" width="8.83984375" style="1"/>
    <col min="13576" max="13576" width="0" style="1" hidden="1" customWidth="1"/>
    <col min="13577" max="13577" width="8.83984375" style="1"/>
    <col min="13578" max="13578" width="0" style="1" hidden="1" customWidth="1"/>
    <col min="13579" max="13580" width="8.83984375" style="1"/>
    <col min="13581" max="13581" width="15.578125" style="1" bestFit="1" customWidth="1"/>
    <col min="13582" max="13816" width="8.83984375" style="1"/>
    <col min="13817" max="13817" width="2.83984375" style="1" customWidth="1"/>
    <col min="13818" max="13818" width="15.26171875" style="1" customWidth="1"/>
    <col min="13819" max="13820" width="8.41796875" style="1" customWidth="1"/>
    <col min="13821" max="13821" width="8.83984375" style="1"/>
    <col min="13822" max="13822" width="9.41796875" style="1" bestFit="1" customWidth="1"/>
    <col min="13823" max="13823" width="8.83984375" style="1"/>
    <col min="13824" max="13824" width="9.83984375" style="1" customWidth="1"/>
    <col min="13825" max="13825" width="8.83984375" style="1"/>
    <col min="13826" max="13826" width="5.15625" style="1" customWidth="1"/>
    <col min="13827" max="13827" width="5.26171875" style="1" customWidth="1"/>
    <col min="13828" max="13828" width="15.15625" style="1" customWidth="1"/>
    <col min="13829" max="13831" width="8.83984375" style="1"/>
    <col min="13832" max="13832" width="0" style="1" hidden="1" customWidth="1"/>
    <col min="13833" max="13833" width="8.83984375" style="1"/>
    <col min="13834" max="13834" width="0" style="1" hidden="1" customWidth="1"/>
    <col min="13835" max="13836" width="8.83984375" style="1"/>
    <col min="13837" max="13837" width="15.578125" style="1" bestFit="1" customWidth="1"/>
    <col min="13838" max="14072" width="8.83984375" style="1"/>
    <col min="14073" max="14073" width="2.83984375" style="1" customWidth="1"/>
    <col min="14074" max="14074" width="15.26171875" style="1" customWidth="1"/>
    <col min="14075" max="14076" width="8.41796875" style="1" customWidth="1"/>
    <col min="14077" max="14077" width="8.83984375" style="1"/>
    <col min="14078" max="14078" width="9.41796875" style="1" bestFit="1" customWidth="1"/>
    <col min="14079" max="14079" width="8.83984375" style="1"/>
    <col min="14080" max="14080" width="9.83984375" style="1" customWidth="1"/>
    <col min="14081" max="14081" width="8.83984375" style="1"/>
    <col min="14082" max="14082" width="5.15625" style="1" customWidth="1"/>
    <col min="14083" max="14083" width="5.26171875" style="1" customWidth="1"/>
    <col min="14084" max="14084" width="15.15625" style="1" customWidth="1"/>
    <col min="14085" max="14087" width="8.83984375" style="1"/>
    <col min="14088" max="14088" width="0" style="1" hidden="1" customWidth="1"/>
    <col min="14089" max="14089" width="8.83984375" style="1"/>
    <col min="14090" max="14090" width="0" style="1" hidden="1" customWidth="1"/>
    <col min="14091" max="14092" width="8.83984375" style="1"/>
    <col min="14093" max="14093" width="15.578125" style="1" bestFit="1" customWidth="1"/>
    <col min="14094" max="14328" width="8.83984375" style="1"/>
    <col min="14329" max="14329" width="2.83984375" style="1" customWidth="1"/>
    <col min="14330" max="14330" width="15.26171875" style="1" customWidth="1"/>
    <col min="14331" max="14332" width="8.41796875" style="1" customWidth="1"/>
    <col min="14333" max="14333" width="8.83984375" style="1"/>
    <col min="14334" max="14334" width="9.41796875" style="1" bestFit="1" customWidth="1"/>
    <col min="14335" max="14335" width="8.83984375" style="1"/>
    <col min="14336" max="14336" width="9.83984375" style="1" customWidth="1"/>
    <col min="14337" max="14337" width="8.83984375" style="1"/>
    <col min="14338" max="14338" width="5.15625" style="1" customWidth="1"/>
    <col min="14339" max="14339" width="5.26171875" style="1" customWidth="1"/>
    <col min="14340" max="14340" width="15.15625" style="1" customWidth="1"/>
    <col min="14341" max="14343" width="8.83984375" style="1"/>
    <col min="14344" max="14344" width="0" style="1" hidden="1" customWidth="1"/>
    <col min="14345" max="14345" width="8.83984375" style="1"/>
    <col min="14346" max="14346" width="0" style="1" hidden="1" customWidth="1"/>
    <col min="14347" max="14348" width="8.83984375" style="1"/>
    <col min="14349" max="14349" width="15.578125" style="1" bestFit="1" customWidth="1"/>
    <col min="14350" max="14584" width="8.83984375" style="1"/>
    <col min="14585" max="14585" width="2.83984375" style="1" customWidth="1"/>
    <col min="14586" max="14586" width="15.26171875" style="1" customWidth="1"/>
    <col min="14587" max="14588" width="8.41796875" style="1" customWidth="1"/>
    <col min="14589" max="14589" width="8.83984375" style="1"/>
    <col min="14590" max="14590" width="9.41796875" style="1" bestFit="1" customWidth="1"/>
    <col min="14591" max="14591" width="8.83984375" style="1"/>
    <col min="14592" max="14592" width="9.83984375" style="1" customWidth="1"/>
    <col min="14593" max="14593" width="8.83984375" style="1"/>
    <col min="14594" max="14594" width="5.15625" style="1" customWidth="1"/>
    <col min="14595" max="14595" width="5.26171875" style="1" customWidth="1"/>
    <col min="14596" max="14596" width="15.15625" style="1" customWidth="1"/>
    <col min="14597" max="14599" width="8.83984375" style="1"/>
    <col min="14600" max="14600" width="0" style="1" hidden="1" customWidth="1"/>
    <col min="14601" max="14601" width="8.83984375" style="1"/>
    <col min="14602" max="14602" width="0" style="1" hidden="1" customWidth="1"/>
    <col min="14603" max="14604" width="8.83984375" style="1"/>
    <col min="14605" max="14605" width="15.578125" style="1" bestFit="1" customWidth="1"/>
    <col min="14606" max="14840" width="8.83984375" style="1"/>
    <col min="14841" max="14841" width="2.83984375" style="1" customWidth="1"/>
    <col min="14842" max="14842" width="15.26171875" style="1" customWidth="1"/>
    <col min="14843" max="14844" width="8.41796875" style="1" customWidth="1"/>
    <col min="14845" max="14845" width="8.83984375" style="1"/>
    <col min="14846" max="14846" width="9.41796875" style="1" bestFit="1" customWidth="1"/>
    <col min="14847" max="14847" width="8.83984375" style="1"/>
    <col min="14848" max="14848" width="9.83984375" style="1" customWidth="1"/>
    <col min="14849" max="14849" width="8.83984375" style="1"/>
    <col min="14850" max="14850" width="5.15625" style="1" customWidth="1"/>
    <col min="14851" max="14851" width="5.26171875" style="1" customWidth="1"/>
    <col min="14852" max="14852" width="15.15625" style="1" customWidth="1"/>
    <col min="14853" max="14855" width="8.83984375" style="1"/>
    <col min="14856" max="14856" width="0" style="1" hidden="1" customWidth="1"/>
    <col min="14857" max="14857" width="8.83984375" style="1"/>
    <col min="14858" max="14858" width="0" style="1" hidden="1" customWidth="1"/>
    <col min="14859" max="14860" width="8.83984375" style="1"/>
    <col min="14861" max="14861" width="15.578125" style="1" bestFit="1" customWidth="1"/>
    <col min="14862" max="15096" width="8.83984375" style="1"/>
    <col min="15097" max="15097" width="2.83984375" style="1" customWidth="1"/>
    <col min="15098" max="15098" width="15.26171875" style="1" customWidth="1"/>
    <col min="15099" max="15100" width="8.41796875" style="1" customWidth="1"/>
    <col min="15101" max="15101" width="8.83984375" style="1"/>
    <col min="15102" max="15102" width="9.41796875" style="1" bestFit="1" customWidth="1"/>
    <col min="15103" max="15103" width="8.83984375" style="1"/>
    <col min="15104" max="15104" width="9.83984375" style="1" customWidth="1"/>
    <col min="15105" max="15105" width="8.83984375" style="1"/>
    <col min="15106" max="15106" width="5.15625" style="1" customWidth="1"/>
    <col min="15107" max="15107" width="5.26171875" style="1" customWidth="1"/>
    <col min="15108" max="15108" width="15.15625" style="1" customWidth="1"/>
    <col min="15109" max="15111" width="8.83984375" style="1"/>
    <col min="15112" max="15112" width="0" style="1" hidden="1" customWidth="1"/>
    <col min="15113" max="15113" width="8.83984375" style="1"/>
    <col min="15114" max="15114" width="0" style="1" hidden="1" customWidth="1"/>
    <col min="15115" max="15116" width="8.83984375" style="1"/>
    <col min="15117" max="15117" width="15.578125" style="1" bestFit="1" customWidth="1"/>
    <col min="15118" max="15352" width="8.83984375" style="1"/>
    <col min="15353" max="15353" width="2.83984375" style="1" customWidth="1"/>
    <col min="15354" max="15354" width="15.26171875" style="1" customWidth="1"/>
    <col min="15355" max="15356" width="8.41796875" style="1" customWidth="1"/>
    <col min="15357" max="15357" width="8.83984375" style="1"/>
    <col min="15358" max="15358" width="9.41796875" style="1" bestFit="1" customWidth="1"/>
    <col min="15359" max="15359" width="8.83984375" style="1"/>
    <col min="15360" max="15360" width="9.83984375" style="1" customWidth="1"/>
    <col min="15361" max="15361" width="8.83984375" style="1"/>
    <col min="15362" max="15362" width="5.15625" style="1" customWidth="1"/>
    <col min="15363" max="15363" width="5.26171875" style="1" customWidth="1"/>
    <col min="15364" max="15364" width="15.15625" style="1" customWidth="1"/>
    <col min="15365" max="15367" width="8.83984375" style="1"/>
    <col min="15368" max="15368" width="0" style="1" hidden="1" customWidth="1"/>
    <col min="15369" max="15369" width="8.83984375" style="1"/>
    <col min="15370" max="15370" width="0" style="1" hidden="1" customWidth="1"/>
    <col min="15371" max="15372" width="8.83984375" style="1"/>
    <col min="15373" max="15373" width="15.578125" style="1" bestFit="1" customWidth="1"/>
    <col min="15374" max="15608" width="8.83984375" style="1"/>
    <col min="15609" max="15609" width="2.83984375" style="1" customWidth="1"/>
    <col min="15610" max="15610" width="15.26171875" style="1" customWidth="1"/>
    <col min="15611" max="15612" width="8.41796875" style="1" customWidth="1"/>
    <col min="15613" max="15613" width="8.83984375" style="1"/>
    <col min="15614" max="15614" width="9.41796875" style="1" bestFit="1" customWidth="1"/>
    <col min="15615" max="15615" width="8.83984375" style="1"/>
    <col min="15616" max="15616" width="9.83984375" style="1" customWidth="1"/>
    <col min="15617" max="15617" width="8.83984375" style="1"/>
    <col min="15618" max="15618" width="5.15625" style="1" customWidth="1"/>
    <col min="15619" max="15619" width="5.26171875" style="1" customWidth="1"/>
    <col min="15620" max="15620" width="15.15625" style="1" customWidth="1"/>
    <col min="15621" max="15623" width="8.83984375" style="1"/>
    <col min="15624" max="15624" width="0" style="1" hidden="1" customWidth="1"/>
    <col min="15625" max="15625" width="8.83984375" style="1"/>
    <col min="15626" max="15626" width="0" style="1" hidden="1" customWidth="1"/>
    <col min="15627" max="15628" width="8.83984375" style="1"/>
    <col min="15629" max="15629" width="15.578125" style="1" bestFit="1" customWidth="1"/>
    <col min="15630" max="15864" width="8.83984375" style="1"/>
    <col min="15865" max="15865" width="2.83984375" style="1" customWidth="1"/>
    <col min="15866" max="15866" width="15.26171875" style="1" customWidth="1"/>
    <col min="15867" max="15868" width="8.41796875" style="1" customWidth="1"/>
    <col min="15869" max="15869" width="8.83984375" style="1"/>
    <col min="15870" max="15870" width="9.41796875" style="1" bestFit="1" customWidth="1"/>
    <col min="15871" max="15871" width="8.83984375" style="1"/>
    <col min="15872" max="15872" width="9.83984375" style="1" customWidth="1"/>
    <col min="15873" max="15873" width="8.83984375" style="1"/>
    <col min="15874" max="15874" width="5.15625" style="1" customWidth="1"/>
    <col min="15875" max="15875" width="5.26171875" style="1" customWidth="1"/>
    <col min="15876" max="15876" width="15.15625" style="1" customWidth="1"/>
    <col min="15877" max="15879" width="8.83984375" style="1"/>
    <col min="15880" max="15880" width="0" style="1" hidden="1" customWidth="1"/>
    <col min="15881" max="15881" width="8.83984375" style="1"/>
    <col min="15882" max="15882" width="0" style="1" hidden="1" customWidth="1"/>
    <col min="15883" max="15884" width="8.83984375" style="1"/>
    <col min="15885" max="15885" width="15.578125" style="1" bestFit="1" customWidth="1"/>
    <col min="15886" max="16120" width="8.83984375" style="1"/>
    <col min="16121" max="16121" width="2.83984375" style="1" customWidth="1"/>
    <col min="16122" max="16122" width="15.26171875" style="1" customWidth="1"/>
    <col min="16123" max="16124" width="8.41796875" style="1" customWidth="1"/>
    <col min="16125" max="16125" width="8.83984375" style="1"/>
    <col min="16126" max="16126" width="9.41796875" style="1" bestFit="1" customWidth="1"/>
    <col min="16127" max="16127" width="8.83984375" style="1"/>
    <col min="16128" max="16128" width="9.83984375" style="1" customWidth="1"/>
    <col min="16129" max="16129" width="8.83984375" style="1"/>
    <col min="16130" max="16130" width="5.15625" style="1" customWidth="1"/>
    <col min="16131" max="16131" width="5.26171875" style="1" customWidth="1"/>
    <col min="16132" max="16132" width="15.15625" style="1" customWidth="1"/>
    <col min="16133" max="16135" width="8.83984375" style="1"/>
    <col min="16136" max="16136" width="0" style="1" hidden="1" customWidth="1"/>
    <col min="16137" max="16137" width="8.83984375" style="1"/>
    <col min="16138" max="16138" width="0" style="1" hidden="1" customWidth="1"/>
    <col min="16139" max="16140" width="8.83984375" style="1"/>
    <col min="16141" max="16141" width="15.578125" style="1" bestFit="1" customWidth="1"/>
    <col min="16142" max="16384" width="8.83984375" style="1"/>
  </cols>
  <sheetData>
    <row r="1" spans="1:46" ht="14.4" x14ac:dyDescent="0.55000000000000004">
      <c r="G1" s="1" t="s">
        <v>69</v>
      </c>
      <c r="H1" s="2"/>
      <c r="I1" s="4">
        <f>SUM(Table1[ΑΕΡΙΣΜΟΣ])</f>
        <v>380.22699999999998</v>
      </c>
      <c r="J1" s="4"/>
      <c r="K1" s="2" t="s">
        <v>33</v>
      </c>
      <c r="L1" s="1" t="s">
        <v>46</v>
      </c>
      <c r="M1" s="1" t="s">
        <v>11</v>
      </c>
      <c r="N1" s="1" t="s">
        <v>12</v>
      </c>
      <c r="O1" s="1" t="s">
        <v>53</v>
      </c>
      <c r="P1" s="1" t="s">
        <v>48</v>
      </c>
      <c r="Q1" s="1" t="s">
        <v>54</v>
      </c>
      <c r="R1" s="26" t="s">
        <v>55</v>
      </c>
      <c r="S1" s="26" t="s">
        <v>58</v>
      </c>
      <c r="T1" s="26" t="s">
        <v>59</v>
      </c>
      <c r="U1" s="26" t="s">
        <v>61</v>
      </c>
      <c r="V1" s="26" t="s">
        <v>60</v>
      </c>
      <c r="Y1" s="28" t="s">
        <v>45</v>
      </c>
      <c r="Z1" s="28" t="s">
        <v>46</v>
      </c>
      <c r="AA1" s="28" t="s">
        <v>11</v>
      </c>
      <c r="AB1" s="28" t="s">
        <v>12</v>
      </c>
      <c r="AC1" s="28" t="s">
        <v>47</v>
      </c>
      <c r="AD1" s="28" t="s">
        <v>48</v>
      </c>
      <c r="AE1" s="28" t="s">
        <v>49</v>
      </c>
      <c r="AF1" s="29" t="s">
        <v>62</v>
      </c>
      <c r="AG1" s="29" t="s">
        <v>69</v>
      </c>
      <c r="AH1" s="29" t="s">
        <v>67</v>
      </c>
      <c r="AI1" s="29" t="s">
        <v>68</v>
      </c>
      <c r="AK1" s="20" t="s">
        <v>56</v>
      </c>
      <c r="AL1" s="20" t="s">
        <v>52</v>
      </c>
      <c r="AM1"/>
      <c r="AN1"/>
      <c r="AO1"/>
      <c r="AP1"/>
      <c r="AQ1"/>
      <c r="AR1"/>
      <c r="AS1"/>
      <c r="AT1"/>
    </row>
    <row r="2" spans="1:46" ht="14.4" x14ac:dyDescent="0.55000000000000004">
      <c r="H2" s="3">
        <v>0.04</v>
      </c>
      <c r="I2" s="4"/>
      <c r="J2" s="4"/>
      <c r="K2" s="4" t="s">
        <v>33</v>
      </c>
      <c r="L2" s="28" t="s">
        <v>0</v>
      </c>
      <c r="M2" s="35">
        <v>0</v>
      </c>
      <c r="N2" s="28"/>
      <c r="O2" s="28">
        <v>5</v>
      </c>
      <c r="P2" s="28">
        <f t="shared" ref="P2:P8" si="0">ΥΨΟΣ</f>
        <v>3</v>
      </c>
      <c r="Q2" s="30">
        <f>O2*P2</f>
        <v>15</v>
      </c>
      <c r="R2" s="31">
        <f>IFERROR(GETPIVOTDATA("Εμβαδό",$AK$1,"ΤΟΙΧΟΣ",Table13[[#This Row],[ΤΟΙΧΟΣ]]),0)</f>
        <v>2.2999999999999998</v>
      </c>
      <c r="S2" s="31">
        <f>Table13[[#This Row],[Εμβαδό μεικτό]]*ΦΕΡΩΝ/100</f>
        <v>3</v>
      </c>
      <c r="T2" s="31">
        <f>ROUND(Table13[[#This Row],[Εμβαδό μεικτό]]-Table13[[#This Row],[εμβαδο ανοιγματων]]-Table13[[#This Row],[Εμβαδό ΦΟ]],2)</f>
        <v>9.6999999999999993</v>
      </c>
      <c r="U2" s="31">
        <f t="shared" ref="U2:U6" si="1">IF(K2="ΜΘΧ",0.5,1)</f>
        <v>0.5</v>
      </c>
      <c r="V2" s="31">
        <f>ROUND(Table13[[#This Row],[ΣΥΝΤ-ΜΘΧ]]*(Table13[[#This Row],[Εμβαδό τοιχου]]*Ut+Table13[[#This Row],[Εμβαδό ΦΟ]]*Ud)/(Table13[[#This Row],[Εμβαδό ΦΟ]]+Table13[[#This Row],[Εμβαδό τοιχου]]),3)</f>
        <v>1.242</v>
      </c>
      <c r="Y2" s="28" t="s">
        <v>4</v>
      </c>
      <c r="Z2" s="28" t="s">
        <v>0</v>
      </c>
      <c r="AA2" s="28">
        <f>VLOOKUP(Table1[[#This Row],[ΤΟΙΧΟΣ]],Table13[[ΤΟΙΧΟΣ]:[γ]],2)</f>
        <v>0</v>
      </c>
      <c r="AB2" s="28">
        <v>90</v>
      </c>
      <c r="AC2" s="28">
        <v>1</v>
      </c>
      <c r="AD2" s="28">
        <v>2.2999999999999998</v>
      </c>
      <c r="AE2" s="30">
        <f>ROUND(Table1[[#This Row],[ύψος]]*Table1[[#This Row],[άνοιγμα]],3)</f>
        <v>2.2999999999999998</v>
      </c>
      <c r="AF2" s="29">
        <f t="shared" ref="AF2:AF10" si="2">IF(AND(AH2="ΞΥΛΙΝΟ",AI2="ΠΟΡΤΑ"),11.8,IF(AND(AH2="ΞΥΛΙΝΟ",AI2="ΠΑΡΑΘΥΡΟ"),15.1,IF(AND(AH2="ΑΛΟΥΜΙΝΙΟ",AI2="ΠΟΡΤΑ"),7.4,IF(AND(AH2="ΑΛΟΥΜΙΝΙΟ",AI2="ΠΑΡΑΘΥΡΟ"),8.7))))</f>
        <v>15.1</v>
      </c>
      <c r="AG2" s="29">
        <f>Table1[[#This Row],[ΣΥΝΤ. ΔΙΕΙΣΔ]]*Table1[[#This Row],[Εμβαδό]]</f>
        <v>34.729999999999997</v>
      </c>
      <c r="AH2" s="29" t="s">
        <v>63</v>
      </c>
      <c r="AI2" s="29" t="s">
        <v>66</v>
      </c>
      <c r="AK2" s="20" t="s">
        <v>50</v>
      </c>
      <c r="AL2" s="22" t="s">
        <v>0</v>
      </c>
      <c r="AM2" t="s">
        <v>2</v>
      </c>
      <c r="AN2" t="s">
        <v>3</v>
      </c>
      <c r="AO2" t="s">
        <v>1</v>
      </c>
      <c r="AP2" t="s">
        <v>43</v>
      </c>
      <c r="AQ2" t="s">
        <v>42</v>
      </c>
      <c r="AR2" t="s">
        <v>51</v>
      </c>
      <c r="AS2" t="s">
        <v>63</v>
      </c>
      <c r="AT2" t="s">
        <v>64</v>
      </c>
    </row>
    <row r="3" spans="1:46" ht="14.4" x14ac:dyDescent="0.55000000000000004">
      <c r="H3" s="3">
        <v>0.04</v>
      </c>
      <c r="I3" s="4"/>
      <c r="J3" s="4"/>
      <c r="K3" s="4"/>
      <c r="L3" s="28" t="s">
        <v>1</v>
      </c>
      <c r="M3" s="28">
        <v>90</v>
      </c>
      <c r="N3" s="28"/>
      <c r="O3" s="28">
        <v>7</v>
      </c>
      <c r="P3" s="28">
        <f t="shared" si="0"/>
        <v>3</v>
      </c>
      <c r="Q3" s="30">
        <f t="shared" ref="Q3:Q5" si="3">O3*P3</f>
        <v>21</v>
      </c>
      <c r="R3" s="31">
        <f>IFERROR(GETPIVOTDATA("Εμβαδό",$AK$1,"ΤΟΙΧΟΣ",Table13[[#This Row],[ΤΟΙΧΟΣ]]),0)</f>
        <v>15</v>
      </c>
      <c r="S3" s="31">
        <f>Table13[[#This Row],[Εμβαδό μεικτό]]*ΦΕΡΩΝ/100</f>
        <v>4.2</v>
      </c>
      <c r="T3" s="31">
        <f>ROUND(Table13[[#This Row],[Εμβαδό μεικτό]]-Table13[[#This Row],[εμβαδο ανοιγματων]]-Table13[[#This Row],[Εμβαδό ΦΟ]],2)</f>
        <v>1.8</v>
      </c>
      <c r="U3" s="31">
        <f t="shared" si="1"/>
        <v>1</v>
      </c>
      <c r="V3" s="31">
        <f>ROUND(Table13[[#This Row],[ΣΥΝΤ-ΜΘΧ]]*(Table13[[#This Row],[Εμβαδό τοιχου]]*Ut+Table13[[#This Row],[Εμβαδό ΦΟ]]*Ud)/(Table13[[#This Row],[Εμβαδό ΦΟ]]+Table13[[#This Row],[Εμβαδό τοιχου]]),3)</f>
        <v>3.04</v>
      </c>
      <c r="Y3" s="28" t="s">
        <v>5</v>
      </c>
      <c r="Z3" s="28" t="s">
        <v>1</v>
      </c>
      <c r="AA3" s="28">
        <f>VLOOKUP(Table1[[#This Row],[ΤΟΙΧΟΣ]],Table13[[ΤΟΙΧΟΣ]:[γ]],2)</f>
        <v>90</v>
      </c>
      <c r="AB3" s="28">
        <v>90</v>
      </c>
      <c r="AC3" s="28">
        <v>2</v>
      </c>
      <c r="AD3" s="28">
        <v>3</v>
      </c>
      <c r="AE3" s="30">
        <f>ROUND(Table1[[#This Row],[ύψος]]*Table1[[#This Row],[άνοιγμα]],3)</f>
        <v>6</v>
      </c>
      <c r="AF3" s="29">
        <f t="shared" si="2"/>
        <v>15.1</v>
      </c>
      <c r="AG3" s="29">
        <f>Table1[[#This Row],[ΣΥΝΤ. ΔΙΕΙΣΔ]]*Table1[[#This Row],[Εμβαδό]]</f>
        <v>90.6</v>
      </c>
      <c r="AH3" s="29" t="s">
        <v>63</v>
      </c>
      <c r="AI3" s="29" t="s">
        <v>66</v>
      </c>
      <c r="AK3" s="24" t="s">
        <v>4</v>
      </c>
      <c r="AL3" s="25">
        <v>2.2999999999999998</v>
      </c>
      <c r="AM3" s="25"/>
      <c r="AN3" s="25"/>
      <c r="AO3" s="25"/>
      <c r="AP3" s="25"/>
      <c r="AQ3" s="25"/>
      <c r="AR3" s="25">
        <v>2.2999999999999998</v>
      </c>
      <c r="AS3" t="s">
        <v>65</v>
      </c>
      <c r="AT3" t="s">
        <v>65</v>
      </c>
    </row>
    <row r="4" spans="1:46" ht="14.4" x14ac:dyDescent="0.55000000000000004">
      <c r="H4" s="3">
        <v>0.04</v>
      </c>
      <c r="I4" s="4"/>
      <c r="J4" s="4"/>
      <c r="K4" s="4"/>
      <c r="L4" s="28" t="s">
        <v>2</v>
      </c>
      <c r="M4" s="28">
        <v>23</v>
      </c>
      <c r="N4" s="28"/>
      <c r="O4" s="28">
        <v>3</v>
      </c>
      <c r="P4" s="28">
        <f t="shared" si="0"/>
        <v>3</v>
      </c>
      <c r="Q4" s="30">
        <f t="shared" si="3"/>
        <v>9</v>
      </c>
      <c r="R4" s="31">
        <f>IFERROR(GETPIVOTDATA("Εμβαδό",$AK$1,"ΤΟΙΧΟΣ",Table13[[#This Row],[ΤΟΙΧΟΣ]]),0)</f>
        <v>3.92</v>
      </c>
      <c r="S4" s="31">
        <f>Table13[[#This Row],[Εμβαδό μεικτό]]*ΦΕΡΩΝ/100</f>
        <v>1.8</v>
      </c>
      <c r="T4" s="31">
        <f>ROUND(Table13[[#This Row],[Εμβαδό μεικτό]]-Table13[[#This Row],[εμβαδο ανοιγματων]]-Table13[[#This Row],[Εμβαδό ΦΟ]],2)</f>
        <v>3.28</v>
      </c>
      <c r="U4" s="31">
        <f t="shared" si="1"/>
        <v>1</v>
      </c>
      <c r="V4" s="31">
        <f>ROUND(Table13[[#This Row],[ΣΥΝΤ-ΜΘΧ]]*(Table13[[#This Row],[Εμβαδό τοιχου]]*Ut+Table13[[#This Row],[Εμβαδό ΦΟ]]*Ud)/(Table13[[#This Row],[Εμβαδό ΦΟ]]+Table13[[#This Row],[Εμβαδό τοιχου]]),3)</f>
        <v>2.625</v>
      </c>
      <c r="Y4" s="28" t="s">
        <v>6</v>
      </c>
      <c r="Z4" s="28" t="s">
        <v>2</v>
      </c>
      <c r="AA4" s="28">
        <f>VLOOKUP(Table1[[#This Row],[ΤΟΙΧΟΣ]],Table13[[ΤΟΙΧΟΣ]:[γ]],2)</f>
        <v>23</v>
      </c>
      <c r="AB4" s="28">
        <v>90</v>
      </c>
      <c r="AC4" s="28">
        <v>1</v>
      </c>
      <c r="AD4" s="28">
        <v>3</v>
      </c>
      <c r="AE4" s="30">
        <f>ROUND(Table1[[#This Row],[ύψος]]*Table1[[#This Row],[άνοιγμα]],3)</f>
        <v>3</v>
      </c>
      <c r="AF4" s="29">
        <f t="shared" si="2"/>
        <v>15.1</v>
      </c>
      <c r="AG4" s="29">
        <f>Table1[[#This Row],[ΣΥΝΤ. ΔΙΕΙΣΔ]]*Table1[[#This Row],[Εμβαδό]]</f>
        <v>45.3</v>
      </c>
      <c r="AH4" s="29" t="s">
        <v>63</v>
      </c>
      <c r="AI4" s="29" t="s">
        <v>66</v>
      </c>
      <c r="AK4" s="24" t="s">
        <v>5</v>
      </c>
      <c r="AL4" s="25"/>
      <c r="AM4" s="25"/>
      <c r="AN4" s="25"/>
      <c r="AO4" s="25">
        <v>6</v>
      </c>
      <c r="AP4" s="25"/>
      <c r="AQ4" s="25"/>
      <c r="AR4" s="25">
        <v>6</v>
      </c>
      <c r="AS4" t="s">
        <v>66</v>
      </c>
      <c r="AT4" t="s">
        <v>66</v>
      </c>
    </row>
    <row r="5" spans="1:46" ht="14.4" x14ac:dyDescent="0.55000000000000004">
      <c r="H5" s="3">
        <v>0.04</v>
      </c>
      <c r="I5" s="4"/>
      <c r="J5" s="4"/>
      <c r="K5" s="4"/>
      <c r="L5" s="28" t="s">
        <v>3</v>
      </c>
      <c r="M5" s="28">
        <v>45</v>
      </c>
      <c r="N5" s="28"/>
      <c r="O5" s="28">
        <v>2</v>
      </c>
      <c r="P5" s="28">
        <f t="shared" si="0"/>
        <v>3</v>
      </c>
      <c r="Q5" s="30">
        <f t="shared" si="3"/>
        <v>6</v>
      </c>
      <c r="R5" s="31">
        <f>IFERROR(GETPIVOTDATA("Εμβαδό",$AK$1,"ΤΟΙΧΟΣ",Table13[[#This Row],[ΤΟΙΧΟΣ]]),0)</f>
        <v>2.5</v>
      </c>
      <c r="S5" s="31">
        <f>Table13[[#This Row],[Εμβαδό μεικτό]]*ΦΕΡΩΝ/100</f>
        <v>1.2</v>
      </c>
      <c r="T5" s="31">
        <f>ROUND(Table13[[#This Row],[Εμβαδό μεικτό]]-Table13[[#This Row],[εμβαδο ανοιγματων]]-Table13[[#This Row],[Εμβαδό ΦΟ]],2)</f>
        <v>2.2999999999999998</v>
      </c>
      <c r="U5" s="31">
        <f t="shared" si="1"/>
        <v>1</v>
      </c>
      <c r="V5" s="31">
        <f>ROUND(Table13[[#This Row],[ΣΥΝΤ-ΜΘΧ]]*(Table13[[#This Row],[Εμβαδό τοιχου]]*Ut+Table13[[#This Row],[Εμβαδό ΦΟ]]*Ud)/(Table13[[#This Row],[Εμβαδό ΦΟ]]+Table13[[#This Row],[Εμβαδό τοιχου]]),3)</f>
        <v>2.6110000000000002</v>
      </c>
      <c r="Y5" s="28" t="s">
        <v>7</v>
      </c>
      <c r="Z5" s="28" t="s">
        <v>3</v>
      </c>
      <c r="AA5" s="28">
        <f>VLOOKUP(Table1[[#This Row],[ΤΟΙΧΟΣ]],Table13[[ΤΟΙΧΟΣ]:[γ]],2)</f>
        <v>45</v>
      </c>
      <c r="AB5" s="28">
        <v>90</v>
      </c>
      <c r="AC5" s="28">
        <v>1</v>
      </c>
      <c r="AD5" s="28">
        <v>1.5</v>
      </c>
      <c r="AE5" s="30">
        <f>ROUND(Table1[[#This Row],[ύψος]]*Table1[[#This Row],[άνοιγμα]],3)</f>
        <v>1.5</v>
      </c>
      <c r="AF5" s="29">
        <f t="shared" si="2"/>
        <v>15.1</v>
      </c>
      <c r="AG5" s="29">
        <f>Table1[[#This Row],[ΣΥΝΤ. ΔΙΕΙΣΔ]]*Table1[[#This Row],[Εμβαδό]]</f>
        <v>22.65</v>
      </c>
      <c r="AH5" s="29" t="s">
        <v>63</v>
      </c>
      <c r="AI5" s="29" t="s">
        <v>66</v>
      </c>
      <c r="AK5" s="24" t="s">
        <v>6</v>
      </c>
      <c r="AL5" s="25"/>
      <c r="AM5" s="25">
        <v>3</v>
      </c>
      <c r="AN5" s="25"/>
      <c r="AO5" s="25"/>
      <c r="AP5" s="25"/>
      <c r="AQ5" s="25"/>
      <c r="AR5" s="25">
        <v>3</v>
      </c>
      <c r="AS5"/>
      <c r="AT5"/>
    </row>
    <row r="6" spans="1:46" ht="14.4" x14ac:dyDescent="0.55000000000000004">
      <c r="H6" s="3">
        <v>0.04</v>
      </c>
      <c r="I6" s="4"/>
      <c r="J6" s="4"/>
      <c r="K6" s="4"/>
      <c r="L6" s="28" t="s">
        <v>42</v>
      </c>
      <c r="M6" s="29">
        <v>49</v>
      </c>
      <c r="N6" s="29"/>
      <c r="O6" s="29">
        <v>4</v>
      </c>
      <c r="P6" s="28">
        <f t="shared" si="0"/>
        <v>3</v>
      </c>
      <c r="Q6" s="29">
        <f>O6*P6</f>
        <v>12</v>
      </c>
      <c r="R6" s="31">
        <f>IFERROR(GETPIVOTDATA("Εμβαδό",$AK$1,"ΤΟΙΧΟΣ",Table13[[#This Row],[ΤΟΙΧΟΣ]]),0)</f>
        <v>5.8</v>
      </c>
      <c r="S6" s="31">
        <f>Table13[[#This Row],[Εμβαδό μεικτό]]*ΦΕΡΩΝ/100</f>
        <v>2.4</v>
      </c>
      <c r="T6" s="31">
        <f>ROUND(Table13[[#This Row],[Εμβαδό μεικτό]]-Table13[[#This Row],[εμβαδο ανοιγματων]]-Table13[[#This Row],[Εμβαδό ΦΟ]],2)</f>
        <v>3.8</v>
      </c>
      <c r="U6" s="31">
        <f t="shared" si="1"/>
        <v>1</v>
      </c>
      <c r="V6" s="31">
        <f>ROUND(Table13[[#This Row],[ΣΥΝΤ-ΜΘΧ]]*(Table13[[#This Row],[Εμβαδό τοιχου]]*Ut+Table13[[#This Row],[Εμβαδό ΦΟ]]*Ud)/(Table13[[#This Row],[Εμβαδό ΦΟ]]+Table13[[#This Row],[Εμβαδό τοιχου]]),3)</f>
        <v>2.665</v>
      </c>
      <c r="Y6" s="29" t="s">
        <v>8</v>
      </c>
      <c r="Z6" s="28" t="s">
        <v>3</v>
      </c>
      <c r="AA6" s="28">
        <f>VLOOKUP(Table1[[#This Row],[ΤΟΙΧΟΣ]],Table13[[ΤΟΙΧΟΣ]:[γ]],2)</f>
        <v>45</v>
      </c>
      <c r="AB6" s="28">
        <v>90</v>
      </c>
      <c r="AC6" s="29">
        <v>1</v>
      </c>
      <c r="AD6" s="29">
        <v>1</v>
      </c>
      <c r="AE6" s="30">
        <f>ROUND(Table1[[#This Row],[ύψος]]*Table1[[#This Row],[άνοιγμα]],3)</f>
        <v>1</v>
      </c>
      <c r="AF6" s="29">
        <f t="shared" si="2"/>
        <v>15.1</v>
      </c>
      <c r="AG6" s="29">
        <f>Table1[[#This Row],[ΣΥΝΤ. ΔΙΕΙΣΔ]]*Table1[[#This Row],[Εμβαδό]]</f>
        <v>15.1</v>
      </c>
      <c r="AH6" s="29" t="s">
        <v>63</v>
      </c>
      <c r="AI6" s="29" t="s">
        <v>66</v>
      </c>
      <c r="AK6" s="24" t="s">
        <v>7</v>
      </c>
      <c r="AL6" s="25"/>
      <c r="AM6" s="25"/>
      <c r="AN6" s="25">
        <v>1.5</v>
      </c>
      <c r="AO6" s="25"/>
      <c r="AP6" s="25"/>
      <c r="AQ6" s="25"/>
      <c r="AR6" s="25">
        <v>1.5</v>
      </c>
      <c r="AS6"/>
      <c r="AT6"/>
    </row>
    <row r="7" spans="1:46" ht="14.4" x14ac:dyDescent="0.55000000000000004">
      <c r="H7" s="5">
        <v>0.04</v>
      </c>
      <c r="I7" s="4"/>
      <c r="J7" s="4"/>
      <c r="K7" s="4"/>
      <c r="L7" s="28" t="s">
        <v>43</v>
      </c>
      <c r="M7" s="29">
        <v>57.3</v>
      </c>
      <c r="N7" s="28"/>
      <c r="O7" s="28">
        <v>8</v>
      </c>
      <c r="P7" s="28">
        <f t="shared" si="0"/>
        <v>3</v>
      </c>
      <c r="Q7" s="30">
        <f t="shared" ref="Q7:Q8" si="4">O7*P7</f>
        <v>24</v>
      </c>
      <c r="R7" s="31">
        <f>IFERROR(GETPIVOTDATA("Εμβαδό",$AK$1,"ΤΟΙΧΟΣ",Table13[[#This Row],[ΤΟΙΧΟΣ]]),0)</f>
        <v>0.25</v>
      </c>
      <c r="S7" s="31">
        <f>Table13[[#This Row],[Εμβαδό μεικτό]]*ΦΕΡΩΝ/100</f>
        <v>4.8</v>
      </c>
      <c r="T7" s="31">
        <f>ROUND(Table13[[#This Row],[Εμβαδό μεικτό]]-Table13[[#This Row],[εμβαδο ανοιγματων]]-Table13[[#This Row],[Εμβαδό ΦΟ]],2)</f>
        <v>18.95</v>
      </c>
      <c r="U7" s="31">
        <f t="shared" ref="U7:U8" si="5">IF(K7="ΜΘΧ",0.5,1)</f>
        <v>1</v>
      </c>
      <c r="V7" s="31">
        <f>ROUND(Table13[[#This Row],[ΣΥΝΤ-ΜΘΧ]]*(Table13[[#This Row],[Εμβαδό τοιχου]]*Ut+Table13[[#This Row],[Εμβαδό ΦΟ]]*Ud)/(Table13[[#This Row],[Εμβαδό ΦΟ]]+Table13[[#This Row],[Εμβαδό τοιχου]]),3)</f>
        <v>2.4430000000000001</v>
      </c>
      <c r="Y7" s="29" t="s">
        <v>9</v>
      </c>
      <c r="Z7" s="28" t="s">
        <v>42</v>
      </c>
      <c r="AA7" s="29">
        <f>VLOOKUP(Table1[[#This Row],[ΤΟΙΧΟΣ]],Table13[[ΤΟΙΧΟΣ]:[γ]],2)</f>
        <v>49</v>
      </c>
      <c r="AB7" s="28">
        <v>90</v>
      </c>
      <c r="AC7" s="29">
        <v>2</v>
      </c>
      <c r="AD7" s="29">
        <v>2</v>
      </c>
      <c r="AE7" s="30">
        <f>ROUND(Table1[[#This Row],[ύψος]]*Table1[[#This Row],[άνοιγμα]],3)</f>
        <v>4</v>
      </c>
      <c r="AF7" s="29">
        <f t="shared" si="2"/>
        <v>15.1</v>
      </c>
      <c r="AG7" s="29">
        <f>Table1[[#This Row],[ΣΥΝΤ. ΔΙΕΙΣΔ]]*Table1[[#This Row],[Εμβαδό]]</f>
        <v>60.4</v>
      </c>
      <c r="AH7" s="29" t="s">
        <v>63</v>
      </c>
      <c r="AI7" s="29" t="s">
        <v>66</v>
      </c>
      <c r="AK7" s="24" t="s">
        <v>8</v>
      </c>
      <c r="AL7" s="25"/>
      <c r="AM7" s="25"/>
      <c r="AN7" s="25">
        <v>1</v>
      </c>
      <c r="AO7" s="25"/>
      <c r="AP7" s="25"/>
      <c r="AQ7" s="25"/>
      <c r="AR7" s="25">
        <v>1</v>
      </c>
      <c r="AS7"/>
      <c r="AT7"/>
    </row>
    <row r="8" spans="1:46" ht="14.4" x14ac:dyDescent="0.55000000000000004">
      <c r="A8" s="7" t="s">
        <v>16</v>
      </c>
      <c r="B8" s="7">
        <v>20</v>
      </c>
      <c r="D8" s="7" t="s">
        <v>17</v>
      </c>
      <c r="E8" s="4"/>
      <c r="F8" s="8">
        <v>2.2000000000000002</v>
      </c>
      <c r="H8" s="5">
        <v>0.04</v>
      </c>
      <c r="I8" s="4"/>
      <c r="J8" s="4"/>
      <c r="K8" s="4"/>
      <c r="L8" s="28" t="s">
        <v>44</v>
      </c>
      <c r="M8" s="28">
        <v>45</v>
      </c>
      <c r="N8" s="28"/>
      <c r="O8" s="28">
        <v>3</v>
      </c>
      <c r="P8" s="28">
        <f t="shared" si="0"/>
        <v>3</v>
      </c>
      <c r="Q8" s="30">
        <f t="shared" si="4"/>
        <v>9</v>
      </c>
      <c r="R8" s="31">
        <f>IFERROR(GETPIVOTDATA("Εμβαδό",$AK$1,"ΤΟΙΧΟΣ",Table13[[#This Row],[ΤΟΙΧΟΣ]]),0)</f>
        <v>0</v>
      </c>
      <c r="S8" s="31">
        <f>Table13[[#This Row],[Εμβαδό μεικτό]]*ΦΕΡΩΝ/100</f>
        <v>1.8</v>
      </c>
      <c r="T8" s="31">
        <f>ROUND(Table13[[#This Row],[Εμβαδό μεικτό]]-Table13[[#This Row],[εμβαδο ανοιγματων]]-Table13[[#This Row],[Εμβαδό ΦΟ]],2)</f>
        <v>7.2</v>
      </c>
      <c r="U8" s="31">
        <f t="shared" si="5"/>
        <v>1</v>
      </c>
      <c r="V8" s="31">
        <f>ROUND(Table13[[#This Row],[ΣΥΝΤ-ΜΘΧ]]*(Table13[[#This Row],[Εμβαδό τοιχου]]*Ut+Table13[[#This Row],[Εμβαδό ΦΟ]]*Ud)/(Table13[[#This Row],[Εμβαδό ΦΟ]]+Table13[[#This Row],[Εμβαδό τοιχου]]),3)</f>
        <v>2.44</v>
      </c>
      <c r="Y8" s="29" t="s">
        <v>19</v>
      </c>
      <c r="Z8" s="28" t="s">
        <v>42</v>
      </c>
      <c r="AA8" s="29">
        <f>VLOOKUP(Table1[[#This Row],[ΤΟΙΧΟΣ]],Table13[[ΤΟΙΧΟΣ]:[γ]],2)</f>
        <v>49</v>
      </c>
      <c r="AB8" s="28">
        <v>90</v>
      </c>
      <c r="AC8" s="29">
        <v>0.5</v>
      </c>
      <c r="AD8" s="29">
        <v>2</v>
      </c>
      <c r="AE8" s="30">
        <f>ROUND(Table1[[#This Row],[ύψος]]*Table1[[#This Row],[άνοιγμα]],3)</f>
        <v>1</v>
      </c>
      <c r="AF8" s="29">
        <f t="shared" si="2"/>
        <v>15.1</v>
      </c>
      <c r="AG8" s="29">
        <f>Table1[[#This Row],[ΣΥΝΤ. ΔΙΕΙΣΔ]]*Table1[[#This Row],[Εμβαδό]]</f>
        <v>15.1</v>
      </c>
      <c r="AH8" s="29" t="s">
        <v>63</v>
      </c>
      <c r="AI8" s="29" t="s">
        <v>66</v>
      </c>
      <c r="AK8" s="24" t="s">
        <v>9</v>
      </c>
      <c r="AL8" s="25"/>
      <c r="AM8" s="25"/>
      <c r="AN8" s="25"/>
      <c r="AO8" s="25"/>
      <c r="AP8" s="25"/>
      <c r="AQ8" s="25">
        <v>4</v>
      </c>
      <c r="AR8" s="25">
        <v>4</v>
      </c>
      <c r="AS8"/>
      <c r="AT8"/>
    </row>
    <row r="9" spans="1:46" ht="14.4" x14ac:dyDescent="0.55000000000000004">
      <c r="A9" s="9" t="s">
        <v>10</v>
      </c>
      <c r="B9" s="9">
        <v>3</v>
      </c>
      <c r="D9" s="7" t="s">
        <v>57</v>
      </c>
      <c r="E9" s="4"/>
      <c r="F9" s="8">
        <v>3.4</v>
      </c>
      <c r="H9" s="5">
        <v>0.04</v>
      </c>
      <c r="I9" s="4"/>
      <c r="J9" s="4"/>
      <c r="K9" s="4"/>
      <c r="L9" s="29" t="s">
        <v>70</v>
      </c>
      <c r="M9" s="29">
        <v>68</v>
      </c>
      <c r="N9" s="29"/>
      <c r="O9" s="29">
        <v>8</v>
      </c>
      <c r="P9" s="29">
        <f>ΥΨΟΣ</f>
        <v>3</v>
      </c>
      <c r="Q9" s="29">
        <f>O9*P9</f>
        <v>24</v>
      </c>
      <c r="R9" s="32">
        <f>IFERROR(GETPIVOTDATA("Εμβαδό",$AK$1,"ΤΟΙΧΟΣ",Table13[[#This Row],[ΤΟΙΧΟΣ]]),0)</f>
        <v>0</v>
      </c>
      <c r="S9" s="32">
        <f>Table13[[#This Row],[Εμβαδό μεικτό]]*ΦΕΡΩΝ/100</f>
        <v>4.8</v>
      </c>
      <c r="T9" s="31">
        <f>ROUND(Table13[[#This Row],[Εμβαδό μεικτό]]-Table13[[#This Row],[εμβαδο ανοιγματων]]-Table13[[#This Row],[Εμβαδό ΦΟ]],2)</f>
        <v>19.2</v>
      </c>
      <c r="U9" s="31">
        <f>IF(K9="ΜΘΧ",0.5,1)</f>
        <v>1</v>
      </c>
      <c r="V9" s="31">
        <f>ROUND(Table13[[#This Row],[ΣΥΝΤ-ΜΘΧ]]*(Table13[[#This Row],[Εμβαδό τοιχου]]*Ut+Table13[[#This Row],[Εμβαδό ΦΟ]]*Ud)/(Table13[[#This Row],[Εμβαδό ΦΟ]]+Table13[[#This Row],[Εμβαδό τοιχου]]),3)</f>
        <v>2.44</v>
      </c>
      <c r="Y9" s="29" t="s">
        <v>71</v>
      </c>
      <c r="Z9" s="28" t="s">
        <v>43</v>
      </c>
      <c r="AA9" s="29">
        <f>VLOOKUP(Table1[[#This Row],[ΤΟΙΧΟΣ]],Table13[[ΤΟΙΧΟΣ]:[γ]],2)</f>
        <v>57.3</v>
      </c>
      <c r="AB9" s="28">
        <v>90</v>
      </c>
      <c r="AC9" s="29">
        <v>0.5</v>
      </c>
      <c r="AD9" s="29">
        <v>0.5</v>
      </c>
      <c r="AE9" s="30">
        <f>ROUND(Table1[[#This Row],[ύψος]]*Table1[[#This Row],[άνοιγμα]],3)</f>
        <v>0.25</v>
      </c>
      <c r="AF9" s="29">
        <f t="shared" si="2"/>
        <v>15.1</v>
      </c>
      <c r="AG9" s="29">
        <f>Table1[[#This Row],[ΣΥΝΤ. ΔΙΕΙΣΔ]]*Table1[[#This Row],[Εμβαδό]]</f>
        <v>3.7749999999999999</v>
      </c>
      <c r="AH9" s="29" t="s">
        <v>63</v>
      </c>
      <c r="AI9" s="29" t="s">
        <v>66</v>
      </c>
      <c r="AK9" s="24" t="s">
        <v>19</v>
      </c>
      <c r="AL9" s="25"/>
      <c r="AM9" s="25"/>
      <c r="AN9" s="25"/>
      <c r="AO9" s="25"/>
      <c r="AP9" s="25"/>
      <c r="AQ9" s="25">
        <v>1</v>
      </c>
      <c r="AR9" s="25">
        <v>1</v>
      </c>
      <c r="AS9"/>
      <c r="AT9"/>
    </row>
    <row r="10" spans="1:46" ht="14.4" x14ac:dyDescent="0.55000000000000004">
      <c r="H10" s="4">
        <v>0.04</v>
      </c>
      <c r="I10" s="4"/>
      <c r="J10" s="4"/>
      <c r="K10" s="4"/>
      <c r="M10" s="4"/>
      <c r="N10" s="4"/>
      <c r="O10" s="4"/>
      <c r="P10" s="4"/>
      <c r="Y10" s="29" t="s">
        <v>72</v>
      </c>
      <c r="Z10" s="28" t="s">
        <v>2</v>
      </c>
      <c r="AA10" s="29">
        <f>VLOOKUP(Table1[[#This Row],[ΤΟΙΧΟΣ]],Table13[[ΤΟΙΧΟΣ]:[γ]],2)</f>
        <v>23</v>
      </c>
      <c r="AB10" s="28">
        <v>90</v>
      </c>
      <c r="AC10" s="29">
        <v>0.6</v>
      </c>
      <c r="AD10" s="29">
        <v>0.6</v>
      </c>
      <c r="AE10" s="30">
        <f>ROUND(Table1[[#This Row],[ύψος]]*Table1[[#This Row],[άνοιγμα]],3)</f>
        <v>0.36</v>
      </c>
      <c r="AF10" s="29">
        <f t="shared" si="2"/>
        <v>15.1</v>
      </c>
      <c r="AG10" s="29">
        <f>Table1[[#This Row],[ΣΥΝΤ. ΔΙΕΙΣΔ]]*Table1[[#This Row],[Εμβαδό]]</f>
        <v>5.4359999999999999</v>
      </c>
      <c r="AH10" s="29" t="s">
        <v>63</v>
      </c>
      <c r="AI10" s="29" t="s">
        <v>66</v>
      </c>
      <c r="AK10" s="24" t="s">
        <v>71</v>
      </c>
      <c r="AL10" s="25"/>
      <c r="AM10" s="25"/>
      <c r="AN10" s="25"/>
      <c r="AO10" s="25"/>
      <c r="AP10" s="25">
        <v>0.25</v>
      </c>
      <c r="AQ10" s="25"/>
      <c r="AR10" s="25">
        <v>0.25</v>
      </c>
      <c r="AS10"/>
      <c r="AT10"/>
    </row>
    <row r="11" spans="1:46" ht="14.4" x14ac:dyDescent="0.55000000000000004">
      <c r="H11" s="4">
        <v>0.04</v>
      </c>
      <c r="I11" s="4"/>
      <c r="J11" s="4"/>
      <c r="K11" s="4"/>
      <c r="M11" s="4"/>
      <c r="N11" s="4"/>
      <c r="O11" s="4"/>
      <c r="P11" s="4"/>
      <c r="Y11" s="29" t="s">
        <v>73</v>
      </c>
      <c r="Z11" s="29" t="s">
        <v>2</v>
      </c>
      <c r="AA11" s="32">
        <f>VLOOKUP(Table1[[#This Row],[ΤΟΙΧΟΣ]],Table13[[ΤΟΙΧΟΣ]:[γ]],2)</f>
        <v>23</v>
      </c>
      <c r="AB11" s="28">
        <v>90</v>
      </c>
      <c r="AC11" s="29">
        <v>0.7</v>
      </c>
      <c r="AD11" s="29">
        <v>0.8</v>
      </c>
      <c r="AE11" s="30">
        <f>ROUND(Table1[[#This Row],[ύψος]]*Table1[[#This Row],[άνοιγμα]],3)</f>
        <v>0.56000000000000005</v>
      </c>
      <c r="AF11" s="32">
        <f>IF(AND(AH11="ΞΥΛΙΝΟ",AI11="ΠΟΡΤΑ"),11.8,IF(AND(AH11="ΞΥΛΙΝΟ",AI11="ΠΑΡΑΘΥΡΟ"),15.1,IF(AND(AH11="ΑΛΟΥΜΙΝΙΟ",AI11="ΠΟΡΤΑ"),7.4,IF(AND(AH11="ΑΛΟΥΜΙΝΙΟ",AI11="ΠΑΡΑΘΥΡΟ"),8.7))))</f>
        <v>15.1</v>
      </c>
      <c r="AG11" s="32">
        <f>Table1[[#This Row],[ΣΥΝΤ. ΔΙΕΙΣΔ]]*Table1[[#This Row],[Εμβαδό]]</f>
        <v>8.4560000000000013</v>
      </c>
      <c r="AH11" s="29" t="s">
        <v>63</v>
      </c>
      <c r="AI11" s="29" t="s">
        <v>66</v>
      </c>
      <c r="AK11" s="24" t="s">
        <v>72</v>
      </c>
      <c r="AL11" s="25"/>
      <c r="AM11" s="25">
        <v>0.36</v>
      </c>
      <c r="AN11" s="25"/>
      <c r="AO11" s="25"/>
      <c r="AP11" s="25"/>
      <c r="AQ11" s="25"/>
      <c r="AR11" s="25">
        <v>0.36</v>
      </c>
      <c r="AS11"/>
      <c r="AT11"/>
    </row>
    <row r="12" spans="1:46" ht="14.4" x14ac:dyDescent="0.55000000000000004">
      <c r="H12" s="4"/>
      <c r="I12" s="4"/>
      <c r="J12" s="4"/>
      <c r="K12" s="4"/>
      <c r="M12" s="4"/>
      <c r="N12" s="4"/>
      <c r="O12" s="4"/>
      <c r="P12" s="4"/>
      <c r="Y12" s="29" t="s">
        <v>74</v>
      </c>
      <c r="Z12" s="29" t="s">
        <v>42</v>
      </c>
      <c r="AA12" s="32">
        <f>VLOOKUP(Table1[[#This Row],[ΤΟΙΧΟΣ]],Table13[[ΤΟΙΧΟΣ]:[γ]],2)</f>
        <v>49</v>
      </c>
      <c r="AB12" s="28">
        <v>90</v>
      </c>
      <c r="AC12" s="29">
        <v>0.4</v>
      </c>
      <c r="AD12" s="29">
        <v>2</v>
      </c>
      <c r="AE12" s="30">
        <f>ROUND(Table1[[#This Row],[ύψος]]*Table1[[#This Row],[άνοιγμα]],3)</f>
        <v>0.8</v>
      </c>
      <c r="AF12" s="32">
        <f>IF(AND(AH12="ΞΥΛΙΝΟ",AI12="ΠΟΡΤΑ"),11.8,IF(AND(AH12="ΞΥΛΙΝΟ",AI12="ΠΑΡΑΘΥΡΟ"),15.1,IF(AND(AH12="ΑΛΟΥΜΙΝΙΟ",AI12="ΠΟΡΤΑ"),7.4,IF(AND(AH12="ΑΛΟΥΜΙΝΙΟ",AI12="ΠΑΡΑΘΥΡΟ"),8.7))))</f>
        <v>15.1</v>
      </c>
      <c r="AG12" s="32">
        <f>Table1[[#This Row],[ΣΥΝΤ. ΔΙΕΙΣΔ]]*Table1[[#This Row],[Εμβαδό]]</f>
        <v>12.08</v>
      </c>
      <c r="AH12" s="29" t="s">
        <v>63</v>
      </c>
      <c r="AI12" s="29" t="s">
        <v>66</v>
      </c>
      <c r="AJ12"/>
      <c r="AK12" s="24" t="s">
        <v>73</v>
      </c>
      <c r="AL12" s="25"/>
      <c r="AM12" s="25">
        <v>0.55999999999999994</v>
      </c>
      <c r="AN12" s="25"/>
      <c r="AO12" s="25"/>
      <c r="AP12" s="25"/>
      <c r="AQ12" s="25"/>
      <c r="AR12" s="25">
        <v>0.55999999999999994</v>
      </c>
      <c r="AS12"/>
      <c r="AT12"/>
    </row>
    <row r="13" spans="1:46" ht="14.4" x14ac:dyDescent="0.55000000000000004">
      <c r="H13" s="4"/>
      <c r="I13" s="4"/>
      <c r="J13" s="4"/>
      <c r="K13" s="4"/>
      <c r="Y13" s="29" t="s">
        <v>75</v>
      </c>
      <c r="Z13" s="29" t="s">
        <v>1</v>
      </c>
      <c r="AA13" s="32">
        <f>VLOOKUP(Table1[[#This Row],[ΤΟΙΧΟΣ]],Table13[[ΤΟΙΧΟΣ]:[γ]],2)</f>
        <v>90</v>
      </c>
      <c r="AB13" s="28">
        <v>90</v>
      </c>
      <c r="AC13" s="29">
        <v>3</v>
      </c>
      <c r="AD13" s="29">
        <v>3</v>
      </c>
      <c r="AE13" s="30">
        <f>ROUND(Table1[[#This Row],[ύψος]]*Table1[[#This Row],[άνοιγμα]],3)</f>
        <v>9</v>
      </c>
      <c r="AF13" s="32">
        <f>IF(AND(AH13="ΞΥΛΙΝΟ",AI13="ΠΟΡΤΑ"),11.8,IF(AND(AH13="ΞΥΛΙΝΟ",AI13="ΠΑΡΑΘΥΡΟ"),15.1,IF(AND(AH13="ΑΛΟΥΜΙΝΙΟ",AI13="ΠΟΡΤΑ"),7.4,IF(AND(AH13="ΑΛΟΥΜΙΝΙΟ",AI13="ΠΑΡΑΘΥΡΟ"),8.7))))</f>
        <v>7.4</v>
      </c>
      <c r="AG13" s="32">
        <f>Table1[[#This Row],[ΣΥΝΤ. ΔΙΕΙΣΔ]]*Table1[[#This Row],[Εμβαδό]]</f>
        <v>66.600000000000009</v>
      </c>
      <c r="AH13" s="29" t="s">
        <v>64</v>
      </c>
      <c r="AI13" s="29" t="s">
        <v>65</v>
      </c>
      <c r="AK13" s="24" t="s">
        <v>74</v>
      </c>
      <c r="AL13" s="25"/>
      <c r="AM13" s="25"/>
      <c r="AN13" s="25"/>
      <c r="AO13" s="25"/>
      <c r="AP13" s="25"/>
      <c r="AQ13" s="25">
        <v>0.8</v>
      </c>
      <c r="AR13" s="25">
        <v>0.8</v>
      </c>
    </row>
    <row r="14" spans="1:46" ht="14.4" x14ac:dyDescent="0.55000000000000004">
      <c r="H14" s="4"/>
      <c r="I14" s="4"/>
      <c r="J14" s="4"/>
      <c r="K14" s="4"/>
      <c r="Q14"/>
      <c r="R14"/>
      <c r="S14"/>
      <c r="AK14" s="24" t="s">
        <v>75</v>
      </c>
      <c r="AL14" s="25"/>
      <c r="AM14" s="25"/>
      <c r="AN14" s="25"/>
      <c r="AO14" s="25">
        <v>9</v>
      </c>
      <c r="AP14" s="25"/>
      <c r="AQ14" s="25"/>
      <c r="AR14" s="25">
        <v>9</v>
      </c>
    </row>
    <row r="15" spans="1:46" ht="14.4" x14ac:dyDescent="0.55000000000000004">
      <c r="H15" s="4"/>
      <c r="I15" s="4"/>
      <c r="J15" s="4"/>
      <c r="K15" s="4"/>
      <c r="Q15"/>
      <c r="R15"/>
      <c r="S15"/>
      <c r="AK15" s="21" t="s">
        <v>51</v>
      </c>
      <c r="AL15" s="23">
        <v>2.2999999999999998</v>
      </c>
      <c r="AM15" s="23">
        <v>3.92</v>
      </c>
      <c r="AN15" s="23">
        <v>2.5</v>
      </c>
      <c r="AO15" s="23">
        <v>15</v>
      </c>
      <c r="AP15" s="23">
        <v>0.25</v>
      </c>
      <c r="AQ15" s="23">
        <v>5.8</v>
      </c>
      <c r="AR15" s="23">
        <v>29.77</v>
      </c>
    </row>
    <row r="16" spans="1:46" ht="14.4" x14ac:dyDescent="0.55000000000000004">
      <c r="H16" s="4"/>
      <c r="I16" s="4"/>
      <c r="J16" s="4"/>
      <c r="K16" s="4"/>
      <c r="Q16"/>
      <c r="R16"/>
      <c r="S16"/>
    </row>
    <row r="17" spans="2:23" ht="14.4" x14ac:dyDescent="0.55000000000000004">
      <c r="H17" s="4">
        <v>0.04</v>
      </c>
      <c r="I17" s="4"/>
      <c r="J17" s="4"/>
      <c r="K17" s="4"/>
      <c r="Q17"/>
      <c r="R17"/>
      <c r="S17"/>
    </row>
    <row r="18" spans="2:23" ht="14.4" x14ac:dyDescent="0.55000000000000004">
      <c r="H18" s="6"/>
      <c r="I18" s="6"/>
      <c r="J18" s="6"/>
      <c r="K18" s="4"/>
      <c r="Q18"/>
      <c r="R18"/>
      <c r="S18"/>
    </row>
    <row r="19" spans="2:23" ht="14.4" x14ac:dyDescent="0.55000000000000004">
      <c r="K19" s="4"/>
      <c r="P19" s="4"/>
      <c r="Q19"/>
      <c r="R19"/>
      <c r="S19"/>
    </row>
    <row r="20" spans="2:23" ht="14.4" x14ac:dyDescent="0.55000000000000004">
      <c r="K20" s="4"/>
      <c r="P20" s="4"/>
      <c r="Q20"/>
      <c r="R20"/>
      <c r="S20"/>
    </row>
    <row r="21" spans="2:23" ht="14.4" x14ac:dyDescent="0.55000000000000004">
      <c r="K21" s="4"/>
      <c r="P21" s="4"/>
      <c r="Q21" s="27"/>
      <c r="R21"/>
      <c r="S21"/>
    </row>
    <row r="22" spans="2:23" ht="14.4" x14ac:dyDescent="0.55000000000000004">
      <c r="K22" s="4"/>
      <c r="Q22"/>
      <c r="R22"/>
      <c r="S22"/>
    </row>
    <row r="23" spans="2:23" ht="14.4" x14ac:dyDescent="0.55000000000000004">
      <c r="P23" s="4"/>
      <c r="Q23"/>
      <c r="R23"/>
      <c r="S23"/>
    </row>
    <row r="24" spans="2:23" ht="14.4" x14ac:dyDescent="0.55000000000000004">
      <c r="Q24"/>
      <c r="R24"/>
      <c r="S24"/>
    </row>
    <row r="26" spans="2:23" x14ac:dyDescent="0.4">
      <c r="H26" s="6"/>
      <c r="I26" s="6"/>
      <c r="J26" s="6"/>
    </row>
    <row r="27" spans="2:23" x14ac:dyDescent="0.4">
      <c r="H27" s="6"/>
      <c r="I27" s="6"/>
      <c r="J27" s="6"/>
    </row>
    <row r="29" spans="2:23" x14ac:dyDescent="0.4">
      <c r="E29" s="4"/>
      <c r="F29" s="4"/>
      <c r="G29" s="6"/>
      <c r="H29" s="6"/>
      <c r="I29" s="6"/>
      <c r="J29" s="6"/>
    </row>
    <row r="30" spans="2:23" x14ac:dyDescent="0.4">
      <c r="E30" s="4"/>
      <c r="F30" s="4"/>
      <c r="G30" s="6"/>
      <c r="H30" s="6"/>
      <c r="I30" s="6"/>
      <c r="J30" s="6"/>
    </row>
    <row r="31" spans="2:23" x14ac:dyDescent="0.4">
      <c r="E31" s="4"/>
      <c r="F31" s="4"/>
      <c r="G31" s="6"/>
      <c r="H31" s="6"/>
      <c r="I31" s="6"/>
      <c r="J31" s="6"/>
      <c r="W31" s="1" t="s">
        <v>18</v>
      </c>
    </row>
    <row r="32" spans="2:23" x14ac:dyDescent="0.4">
      <c r="B32" s="4" t="s">
        <v>14</v>
      </c>
      <c r="C32" s="4"/>
      <c r="D32" s="4">
        <f>27.38*D33</f>
        <v>82.14</v>
      </c>
      <c r="G32" s="6"/>
      <c r="H32" s="6"/>
      <c r="I32" s="6"/>
      <c r="J32" s="6"/>
      <c r="W32" s="1">
        <f>K33+T23</f>
        <v>0</v>
      </c>
    </row>
    <row r="33" spans="2:11" x14ac:dyDescent="0.4">
      <c r="B33" s="4" t="s">
        <v>15</v>
      </c>
      <c r="C33" s="4"/>
      <c r="D33" s="4">
        <v>3</v>
      </c>
      <c r="E33" s="4">
        <f>SUM(E29:E31)</f>
        <v>0</v>
      </c>
      <c r="F33" s="4"/>
      <c r="G33" s="6"/>
      <c r="H33" s="6"/>
      <c r="I33" s="6"/>
      <c r="J33" s="6"/>
      <c r="K33" s="1">
        <f>SUM(K29:K31)</f>
        <v>0</v>
      </c>
    </row>
    <row r="34" spans="2:11" x14ac:dyDescent="0.4">
      <c r="B34" s="10"/>
      <c r="G34" s="6"/>
      <c r="H34" s="6"/>
      <c r="I34" s="6"/>
      <c r="J34" s="6"/>
    </row>
    <row r="35" spans="2:11" x14ac:dyDescent="0.4">
      <c r="B35" s="10"/>
    </row>
    <row r="36" spans="2:11" x14ac:dyDescent="0.4">
      <c r="B36" s="10"/>
    </row>
    <row r="40" spans="2:11" ht="12.75" customHeight="1" x14ac:dyDescent="0.4"/>
    <row r="47" spans="2:11" x14ac:dyDescent="0.4">
      <c r="E47" s="11"/>
      <c r="F47" s="11"/>
      <c r="G47" s="11"/>
    </row>
    <row r="48" spans="2:11" x14ac:dyDescent="0.4">
      <c r="B48" s="1" t="s">
        <v>20</v>
      </c>
    </row>
    <row r="49" spans="2:18" ht="14.4" x14ac:dyDescent="0.55000000000000004">
      <c r="B49" s="12" t="s">
        <v>21</v>
      </c>
    </row>
    <row r="50" spans="2:18" ht="14.4" x14ac:dyDescent="0.55000000000000004">
      <c r="O50" s="1" t="s">
        <v>28</v>
      </c>
      <c r="R50" s="17">
        <f>C80/C82</f>
        <v>1.713689401913379</v>
      </c>
    </row>
    <row r="51" spans="2:18" ht="14.4" x14ac:dyDescent="0.55000000000000004">
      <c r="B51" s="13" t="s">
        <v>22</v>
      </c>
    </row>
    <row r="52" spans="2:18" ht="18.3" x14ac:dyDescent="0.7">
      <c r="B52" s="14">
        <f>B58*B60*B62</f>
        <v>0.64768000000000014</v>
      </c>
      <c r="M52" s="1" t="s">
        <v>30</v>
      </c>
    </row>
    <row r="54" spans="2:18" ht="14.4" x14ac:dyDescent="0.55000000000000004">
      <c r="B54" s="1" t="s">
        <v>23</v>
      </c>
    </row>
    <row r="55" spans="2:18" ht="14.4" x14ac:dyDescent="0.55000000000000004">
      <c r="B55" s="1" t="s">
        <v>24</v>
      </c>
      <c r="C55" s="1" t="s">
        <v>13</v>
      </c>
      <c r="D55" s="1" t="s">
        <v>25</v>
      </c>
    </row>
    <row r="56" spans="2:18" ht="14.4" x14ac:dyDescent="0.55000000000000004">
      <c r="B56" s="15">
        <f>C56*C98+D56</f>
        <v>1</v>
      </c>
      <c r="C56" s="16">
        <v>0</v>
      </c>
      <c r="D56" s="16">
        <v>1</v>
      </c>
    </row>
    <row r="57" spans="2:18" x14ac:dyDescent="0.4">
      <c r="B57" s="1" t="s">
        <v>26</v>
      </c>
    </row>
    <row r="58" spans="2:18" ht="14.4" x14ac:dyDescent="0.55000000000000004">
      <c r="B58" s="15">
        <f>B64*B66</f>
        <v>0.70400000000000007</v>
      </c>
    </row>
    <row r="59" spans="2:18" x14ac:dyDescent="0.4">
      <c r="B59" s="1" t="s">
        <v>27</v>
      </c>
    </row>
    <row r="60" spans="2:18" ht="14.4" x14ac:dyDescent="0.55000000000000004">
      <c r="B60" s="16">
        <v>0.92</v>
      </c>
    </row>
    <row r="61" spans="2:18" x14ac:dyDescent="0.4">
      <c r="B61" s="1" t="s">
        <v>29</v>
      </c>
    </row>
    <row r="62" spans="2:18" ht="14.4" x14ac:dyDescent="0.55000000000000004">
      <c r="B62" s="15">
        <f>C56*C98+D56</f>
        <v>1</v>
      </c>
    </row>
    <row r="63" spans="2:18" x14ac:dyDescent="0.4">
      <c r="B63" s="1" t="s">
        <v>31</v>
      </c>
    </row>
    <row r="64" spans="2:18" ht="14.4" x14ac:dyDescent="0.55000000000000004">
      <c r="B64" s="16">
        <v>0.8</v>
      </c>
    </row>
    <row r="65" spans="2:3" x14ac:dyDescent="0.4">
      <c r="B65" s="1" t="s">
        <v>32</v>
      </c>
    </row>
    <row r="66" spans="2:3" ht="14.4" x14ac:dyDescent="0.55000000000000004">
      <c r="B66" s="16">
        <v>0.88</v>
      </c>
    </row>
    <row r="80" spans="2:3" ht="14.4" x14ac:dyDescent="0.55000000000000004">
      <c r="B80" s="1" t="s">
        <v>34</v>
      </c>
      <c r="C80" s="16">
        <v>95</v>
      </c>
    </row>
    <row r="82" spans="2:3" ht="14.4" x14ac:dyDescent="0.55000000000000004">
      <c r="B82" s="1" t="s">
        <v>35</v>
      </c>
      <c r="C82" s="15">
        <f>(C84*C86*1.5+C89/3)*C90/1000</f>
        <v>55.435950000000005</v>
      </c>
    </row>
    <row r="84" spans="2:3" ht="14.4" x14ac:dyDescent="0.55000000000000004">
      <c r="B84" s="1" t="s">
        <v>36</v>
      </c>
      <c r="C84" s="16">
        <f>(8.75+5.63+3.55+4.15+1.7+6.15+7.2+1.7+6.35+12+2+4+4.9+10.4+4.9+1.5*2+3+6.5+2*7.65)*7.5+340*2</f>
        <v>1513.8500000000001</v>
      </c>
    </row>
    <row r="86" spans="2:3" ht="14.4" x14ac:dyDescent="0.55000000000000004">
      <c r="B86" s="1" t="s">
        <v>37</v>
      </c>
      <c r="C86" s="16">
        <v>1.2</v>
      </c>
    </row>
    <row r="88" spans="2:3" ht="14.4" x14ac:dyDescent="0.55000000000000004">
      <c r="B88" s="1" t="s">
        <v>38</v>
      </c>
      <c r="C88" s="16">
        <v>187.47</v>
      </c>
    </row>
    <row r="89" spans="2:3" ht="14.4" x14ac:dyDescent="0.55000000000000004">
      <c r="B89" s="1" t="s">
        <v>39</v>
      </c>
      <c r="C89" s="16">
        <f>0.75*C88</f>
        <v>140.60249999999999</v>
      </c>
    </row>
    <row r="90" spans="2:3" ht="14.4" x14ac:dyDescent="0.55000000000000004">
      <c r="B90" s="1" t="s">
        <v>40</v>
      </c>
      <c r="C90" s="16">
        <v>20</v>
      </c>
    </row>
    <row r="98" spans="1:3" ht="14.4" x14ac:dyDescent="0.55000000000000004">
      <c r="B98" s="1" t="s">
        <v>41</v>
      </c>
      <c r="C98" s="18">
        <f>C80/C82</f>
        <v>1.713689401913379</v>
      </c>
    </row>
    <row r="105" spans="1:3" x14ac:dyDescent="0.4">
      <c r="A105" s="4"/>
      <c r="B105" s="4"/>
    </row>
  </sheetData>
  <sheetProtection selectLockedCells="1" selectUnlockedCells="1"/>
  <phoneticPr fontId="10" type="noConversion"/>
  <dataValidations count="3">
    <dataValidation type="list" allowBlank="1" showInputMessage="1" showErrorMessage="1" sqref="Z2:Z13" xr:uid="{00000000-0002-0000-0200-000000000000}">
      <formula1>$L$2:$L$9</formula1>
    </dataValidation>
    <dataValidation type="list" allowBlank="1" showInputMessage="1" showErrorMessage="1" sqref="AU2:AV2 AH2:AH13" xr:uid="{00000000-0002-0000-0200-000001000000}">
      <formula1>$AS$2:$AT$2</formula1>
    </dataValidation>
    <dataValidation type="list" allowBlank="1" showInputMessage="1" showErrorMessage="1" sqref="AI2:AI13" xr:uid="{00000000-0002-0000-0200-000002000000}">
      <formula1>INDIRECT(AH2)</formula1>
    </dataValidation>
  </dataValidations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2"/>
  <headerFooter alignWithMargins="0"/>
  <drawing r:id="rId3"/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activeCell="F28" sqref="F28"/>
    </sheetView>
  </sheetViews>
  <sheetFormatPr defaultRowHeight="14.4" x14ac:dyDescent="0.5500000000000000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Φύλλο1</vt:lpstr>
      <vt:lpstr>Φύλλο2</vt:lpstr>
      <vt:lpstr>kelyfos</vt:lpstr>
      <vt:lpstr>Sheet2</vt:lpstr>
      <vt:lpstr>opaque</vt:lpstr>
      <vt:lpstr>opaque_table</vt:lpstr>
      <vt:lpstr>transp</vt:lpstr>
      <vt:lpstr>Ud</vt:lpstr>
      <vt:lpstr>Ut</vt:lpstr>
      <vt:lpstr>ΑΛΟΥΜΙΝΙΟ</vt:lpstr>
      <vt:lpstr>ΞΥΛΙΝΟ</vt:lpstr>
      <vt:lpstr>ΥΨΟΣ</vt:lpstr>
      <vt:lpstr>ΦΕΡΩΝ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Evangelos Matragos</dc:creator>
  <cp:lastModifiedBy>Evangelos Matragos</cp:lastModifiedBy>
  <dcterms:created xsi:type="dcterms:W3CDTF">2015-06-05T18:19:34Z</dcterms:created>
  <dcterms:modified xsi:type="dcterms:W3CDTF">2020-02-22T15:53:52Z</dcterms:modified>
</cp:coreProperties>
</file>